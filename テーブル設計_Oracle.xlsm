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7560" yWindow="900" windowWidth="13605" windowHeight="10305" tabRatio="500" activeTab="1"/>
  </bookViews>
  <sheets>
    <sheet name="項目定義" sheetId="17" r:id="rId1"/>
    <sheet name="テーブル一覧" sheetId="18" r:id="rId2"/>
  </sheets>
  <functionGroups builtInGroupCount="17"/>
  <calcPr calcId="145621"/>
</workbook>
</file>

<file path=xl/calcChain.xml><?xml version="1.0" encoding="utf-8"?>
<calcChain xmlns="http://schemas.openxmlformats.org/spreadsheetml/2006/main">
  <c r="C9" i="17" l="1"/>
  <c r="C10" i="17" s="1"/>
  <c r="C11" i="17" s="1"/>
  <c r="C12" i="17" s="1"/>
  <c r="C13" i="17" s="1"/>
  <c r="C110" i="17" l="1"/>
  <c r="C111" i="17" s="1"/>
  <c r="C112" i="17" s="1"/>
  <c r="C100" i="17"/>
  <c r="C101" i="17" s="1"/>
  <c r="C102" i="17" s="1"/>
  <c r="C103" i="17" l="1"/>
  <c r="C104" i="17" s="1"/>
  <c r="C105" i="17" s="1"/>
  <c r="C106" i="17" s="1"/>
  <c r="C107" i="17" s="1"/>
  <c r="C108" i="17" s="1"/>
  <c r="C113" i="17"/>
  <c r="C199" i="17" l="1"/>
  <c r="C200" i="17" s="1"/>
  <c r="C201" i="17" s="1"/>
  <c r="C202" i="17" s="1"/>
  <c r="C203" i="17" s="1"/>
  <c r="C204" i="17" s="1"/>
  <c r="B40" i="18" l="1"/>
  <c r="B39" i="18"/>
  <c r="B38" i="18"/>
  <c r="B37" i="18"/>
  <c r="B36" i="18"/>
  <c r="C229" i="17"/>
  <c r="C230" i="17" l="1"/>
  <c r="C231" i="17" s="1"/>
  <c r="C232" i="17" s="1"/>
  <c r="C233" i="17" s="1"/>
  <c r="C234" i="17" s="1"/>
  <c r="C235" i="17" s="1"/>
  <c r="C236" i="17" s="1"/>
  <c r="C237" i="17" s="1"/>
  <c r="C238" i="17" s="1"/>
  <c r="C239" i="17" s="1"/>
  <c r="C240" i="17" s="1"/>
  <c r="C241" i="17" s="1"/>
  <c r="C242" i="17" s="1"/>
  <c r="C243" i="17" s="1"/>
  <c r="C244" i="17" s="1"/>
  <c r="C245" i="17" s="1"/>
  <c r="C226" i="17"/>
  <c r="C227" i="17" s="1"/>
  <c r="B35" i="18"/>
  <c r="B34" i="18"/>
  <c r="C211" i="17"/>
  <c r="C212" i="17" s="1"/>
  <c r="C213" i="17" s="1"/>
  <c r="C214" i="17" s="1"/>
  <c r="C215" i="17" s="1"/>
  <c r="C216" i="17" s="1"/>
  <c r="C217" i="17" s="1"/>
  <c r="C218" i="17" s="1"/>
  <c r="C219" i="17" s="1"/>
  <c r="C220" i="17" s="1"/>
  <c r="C221" i="17" s="1"/>
  <c r="C222" i="17" s="1"/>
  <c r="C223" i="17" s="1"/>
  <c r="C224" i="17" s="1"/>
  <c r="C184" i="17" l="1"/>
  <c r="C185" i="17" s="1"/>
  <c r="C186" i="17" s="1"/>
  <c r="C187" i="17" s="1"/>
  <c r="B33" i="18" l="1"/>
  <c r="B32" i="18"/>
  <c r="C116" i="17" l="1"/>
  <c r="C117" i="17" s="1"/>
  <c r="C118" i="17" s="1"/>
  <c r="C119" i="17" s="1"/>
  <c r="C120" i="17" s="1"/>
  <c r="B31" i="18"/>
  <c r="B30" i="18"/>
  <c r="B29" i="18"/>
  <c r="B28" i="18"/>
  <c r="C141" i="17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64" i="17"/>
  <c r="C165" i="17" s="1"/>
  <c r="C166" i="17" s="1"/>
  <c r="C129" i="17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67" i="17" l="1"/>
  <c r="C168" i="17" s="1"/>
  <c r="C121" i="17"/>
  <c r="C122" i="17" s="1"/>
  <c r="C123" i="17" s="1"/>
  <c r="C124" i="17" s="1"/>
  <c r="B41" i="18"/>
  <c r="B27" i="18"/>
  <c r="B26" i="18"/>
  <c r="C125" i="17" l="1"/>
  <c r="C126" i="17" s="1"/>
  <c r="C127" i="17" s="1"/>
  <c r="C56" i="17"/>
  <c r="C57" i="17" s="1"/>
  <c r="C58" i="17" s="1"/>
  <c r="C59" i="17" l="1"/>
  <c r="C60" i="17" s="1"/>
  <c r="C61" i="17" s="1"/>
  <c r="C62" i="17" s="1"/>
  <c r="C63" i="17" s="1"/>
  <c r="C64" i="17" s="1"/>
  <c r="C65" i="17" s="1"/>
  <c r="C66" i="17" s="1"/>
  <c r="C67" i="17" s="1"/>
  <c r="C170" i="17"/>
  <c r="C171" i="17" s="1"/>
  <c r="C172" i="17" s="1"/>
  <c r="C173" i="17" s="1"/>
  <c r="C174" i="17" s="1"/>
  <c r="C175" i="17" s="1"/>
  <c r="C176" i="17" s="1"/>
  <c r="C177" i="17" s="1"/>
  <c r="C206" i="17" l="1"/>
  <c r="C207" i="17" s="1"/>
  <c r="C208" i="17" s="1"/>
  <c r="C209" i="17" s="1"/>
  <c r="C189" i="17" l="1"/>
  <c r="C190" i="17" s="1"/>
  <c r="C156" i="17"/>
  <c r="C157" i="17" s="1"/>
  <c r="C158" i="17" s="1"/>
  <c r="C159" i="17" s="1"/>
  <c r="C160" i="17" s="1"/>
  <c r="C161" i="17" s="1"/>
  <c r="C162" i="17" s="1"/>
  <c r="C191" i="17" l="1"/>
  <c r="C192" i="17" s="1"/>
  <c r="C193" i="17" s="1"/>
  <c r="C194" i="17" s="1"/>
  <c r="C195" i="17" s="1"/>
  <c r="C196" i="17" s="1"/>
  <c r="C197" i="17" s="1"/>
  <c r="C92" i="17"/>
  <c r="C69" i="17"/>
  <c r="C51" i="17"/>
  <c r="C52" i="17" s="1"/>
  <c r="C53" i="17" s="1"/>
  <c r="C54" i="17" s="1"/>
  <c r="C37" i="17"/>
  <c r="C38" i="17" s="1"/>
  <c r="C39" i="17" s="1"/>
  <c r="C40" i="17" s="1"/>
  <c r="C41" i="17" s="1"/>
  <c r="C42" i="17" s="1"/>
  <c r="C32" i="17"/>
  <c r="C33" i="17" s="1"/>
  <c r="C34" i="17" s="1"/>
  <c r="C35" i="17" s="1"/>
  <c r="C28" i="17"/>
  <c r="C29" i="17" s="1"/>
  <c r="C30" i="17" s="1"/>
  <c r="C82" i="17"/>
  <c r="C83" i="17" s="1"/>
  <c r="C46" i="17"/>
  <c r="C47" i="17" s="1"/>
  <c r="C48" i="17" s="1"/>
  <c r="C49" i="17" s="1"/>
  <c r="C84" i="17" l="1"/>
  <c r="C85" i="17" s="1"/>
  <c r="C86" i="17" s="1"/>
  <c r="C87" i="17" s="1"/>
  <c r="C88" i="17" s="1"/>
  <c r="C89" i="17" s="1"/>
  <c r="C90" i="17" s="1"/>
  <c r="C178" i="17"/>
  <c r="C93" i="17"/>
  <c r="C70" i="17"/>
  <c r="C71" i="17" s="1"/>
  <c r="C43" i="17"/>
  <c r="C44" i="17" s="1"/>
  <c r="C4" i="17"/>
  <c r="C5" i="17" s="1"/>
  <c r="C6" i="17" s="1"/>
  <c r="C15" i="17"/>
  <c r="C16" i="17" s="1"/>
  <c r="C17" i="17" s="1"/>
  <c r="A11" i="18"/>
  <c r="B25" i="18"/>
  <c r="B24" i="18"/>
  <c r="B23" i="18"/>
  <c r="B22" i="18"/>
  <c r="B21" i="18"/>
  <c r="B20" i="18"/>
  <c r="B10" i="18"/>
  <c r="B11" i="18" l="1"/>
  <c r="A12" i="18"/>
  <c r="A13" i="18" s="1"/>
  <c r="C72" i="17"/>
  <c r="C73" i="17" s="1"/>
  <c r="C74" i="17" s="1"/>
  <c r="C75" i="17" s="1"/>
  <c r="C94" i="17"/>
  <c r="C179" i="17"/>
  <c r="C180" i="17" s="1"/>
  <c r="C181" i="17" s="1"/>
  <c r="C182" i="17" s="1"/>
  <c r="C7" i="17"/>
  <c r="C18" i="17"/>
  <c r="C19" i="17" s="1"/>
  <c r="C20" i="17" s="1"/>
  <c r="C21" i="17" s="1"/>
  <c r="C22" i="17" s="1"/>
  <c r="C23" i="17" s="1"/>
  <c r="C24" i="17" s="1"/>
  <c r="C25" i="17" s="1"/>
  <c r="C26" i="17" s="1"/>
  <c r="A14" i="18" l="1"/>
  <c r="B13" i="18"/>
  <c r="B12" i="18"/>
  <c r="C95" i="17"/>
  <c r="C96" i="17" s="1"/>
  <c r="C97" i="17" s="1"/>
  <c r="C98" i="17" s="1"/>
  <c r="C76" i="17"/>
  <c r="C77" i="17" s="1"/>
  <c r="A15" i="18" l="1"/>
  <c r="B14" i="18"/>
  <c r="C78" i="17"/>
  <c r="C79" i="17" s="1"/>
  <c r="C80" i="17" s="1"/>
  <c r="A16" i="18" l="1"/>
  <c r="B15" i="18"/>
  <c r="A17" i="18" l="1"/>
  <c r="B16" i="18"/>
  <c r="A18" i="18" l="1"/>
  <c r="B17" i="18"/>
  <c r="A19" i="18" l="1"/>
  <c r="B19" i="18" s="1"/>
  <c r="B18" i="18"/>
</calcChain>
</file>

<file path=xl/sharedStrings.xml><?xml version="1.0" encoding="utf-8"?>
<sst xmlns="http://schemas.openxmlformats.org/spreadsheetml/2006/main" count="1201" uniqueCount="633">
  <si>
    <t>レ</t>
  </si>
  <si>
    <t>テーブル名</t>
    <rPh sb="4" eb="5">
      <t>メイ</t>
    </rPh>
    <phoneticPr fontId="4"/>
  </si>
  <si>
    <t>TNO</t>
    <phoneticPr fontId="4"/>
  </si>
  <si>
    <t>項目名</t>
    <rPh sb="0" eb="2">
      <t>コウモク</t>
    </rPh>
    <rPh sb="2" eb="3">
      <t>メイ</t>
    </rPh>
    <phoneticPr fontId="4"/>
  </si>
  <si>
    <t>項目説明</t>
    <rPh sb="2" eb="4">
      <t>セツメイ</t>
    </rPh>
    <phoneticPr fontId="4"/>
  </si>
  <si>
    <t>NO</t>
    <phoneticPr fontId="4"/>
  </si>
  <si>
    <t>型</t>
    <rPh sb="0" eb="1">
      <t>カタ</t>
    </rPh>
    <phoneticPr fontId="4"/>
  </si>
  <si>
    <t>長さ</t>
    <rPh sb="0" eb="1">
      <t>ナガ</t>
    </rPh>
    <phoneticPr fontId="4"/>
  </si>
  <si>
    <t>必須</t>
    <rPh sb="0" eb="2">
      <t>ヒッス</t>
    </rPh>
    <phoneticPr fontId="4"/>
  </si>
  <si>
    <t>主キー</t>
    <rPh sb="0" eb="1">
      <t>シュ</t>
    </rPh>
    <phoneticPr fontId="4"/>
  </si>
  <si>
    <t>インデックス</t>
    <phoneticPr fontId="4"/>
  </si>
  <si>
    <t>I1</t>
    <phoneticPr fontId="4"/>
  </si>
  <si>
    <t>I2</t>
    <phoneticPr fontId="4"/>
  </si>
  <si>
    <t>I3</t>
    <phoneticPr fontId="4"/>
  </si>
  <si>
    <t>I4</t>
    <phoneticPr fontId="4"/>
  </si>
  <si>
    <t>I5</t>
    <phoneticPr fontId="4"/>
  </si>
  <si>
    <t>I6</t>
    <phoneticPr fontId="4"/>
  </si>
  <si>
    <t>I7</t>
    <phoneticPr fontId="4"/>
  </si>
  <si>
    <t>I8</t>
    <phoneticPr fontId="4"/>
  </si>
  <si>
    <t>I9</t>
    <phoneticPr fontId="4"/>
  </si>
  <si>
    <t>I10</t>
    <phoneticPr fontId="4"/>
  </si>
  <si>
    <t>削除</t>
    <rPh sb="0" eb="2">
      <t>サクジョ</t>
    </rPh>
    <phoneticPr fontId="4"/>
  </si>
  <si>
    <t>基準値分類ＣＤ</t>
    <rPh sb="0" eb="2">
      <t>キジュン</t>
    </rPh>
    <rPh sb="2" eb="3">
      <t>チ</t>
    </rPh>
    <rPh sb="3" eb="5">
      <t>ブンルイ</t>
    </rPh>
    <phoneticPr fontId="4"/>
  </si>
  <si>
    <t>一意</t>
    <rPh sb="0" eb="2">
      <t>イチイ</t>
    </rPh>
    <phoneticPr fontId="4"/>
  </si>
  <si>
    <t>参照整合制約1</t>
    <rPh sb="0" eb="2">
      <t>サンショウ</t>
    </rPh>
    <rPh sb="2" eb="4">
      <t>セイゴウ</t>
    </rPh>
    <rPh sb="4" eb="6">
      <t>セイヤク</t>
    </rPh>
    <phoneticPr fontId="4"/>
  </si>
  <si>
    <t>参照整合制約2</t>
    <rPh sb="0" eb="2">
      <t>サンショウ</t>
    </rPh>
    <rPh sb="2" eb="4">
      <t>セイゴウ</t>
    </rPh>
    <rPh sb="4" eb="6">
      <t>セイヤク</t>
    </rPh>
    <phoneticPr fontId="4"/>
  </si>
  <si>
    <t>参照整合制約3</t>
    <rPh sb="0" eb="2">
      <t>サンショウ</t>
    </rPh>
    <rPh sb="2" eb="4">
      <t>セイゴウ</t>
    </rPh>
    <rPh sb="4" eb="6">
      <t>セイヤク</t>
    </rPh>
    <phoneticPr fontId="4"/>
  </si>
  <si>
    <t>参照整合制約4</t>
    <rPh sb="0" eb="2">
      <t>サンショウ</t>
    </rPh>
    <rPh sb="2" eb="4">
      <t>セイゴウ</t>
    </rPh>
    <rPh sb="4" eb="6">
      <t>セイヤク</t>
    </rPh>
    <phoneticPr fontId="4"/>
  </si>
  <si>
    <t>参照整合制約5</t>
    <rPh sb="0" eb="2">
      <t>サンショウ</t>
    </rPh>
    <rPh sb="2" eb="4">
      <t>セイゴウ</t>
    </rPh>
    <rPh sb="4" eb="6">
      <t>セイヤク</t>
    </rPh>
    <phoneticPr fontId="4"/>
  </si>
  <si>
    <t>参照整合制約6</t>
    <rPh sb="0" eb="2">
      <t>サンショウ</t>
    </rPh>
    <rPh sb="2" eb="4">
      <t>セイゴウ</t>
    </rPh>
    <rPh sb="4" eb="6">
      <t>セイヤク</t>
    </rPh>
    <phoneticPr fontId="4"/>
  </si>
  <si>
    <t>参照整合制約7</t>
    <rPh sb="0" eb="2">
      <t>サンショウ</t>
    </rPh>
    <rPh sb="2" eb="4">
      <t>セイゴウ</t>
    </rPh>
    <rPh sb="4" eb="6">
      <t>セイヤク</t>
    </rPh>
    <phoneticPr fontId="4"/>
  </si>
  <si>
    <t>参照整合制約8</t>
    <rPh sb="0" eb="2">
      <t>サンショウ</t>
    </rPh>
    <rPh sb="2" eb="4">
      <t>セイゴウ</t>
    </rPh>
    <rPh sb="4" eb="6">
      <t>セイヤク</t>
    </rPh>
    <phoneticPr fontId="4"/>
  </si>
  <si>
    <t>参照整合制約9</t>
    <rPh sb="0" eb="2">
      <t>サンショウ</t>
    </rPh>
    <rPh sb="2" eb="4">
      <t>セイゴウ</t>
    </rPh>
    <rPh sb="4" eb="6">
      <t>セイヤク</t>
    </rPh>
    <phoneticPr fontId="4"/>
  </si>
  <si>
    <t>参照整合制約10</t>
    <rPh sb="0" eb="2">
      <t>サンショウ</t>
    </rPh>
    <rPh sb="2" eb="4">
      <t>セイゴウ</t>
    </rPh>
    <rPh sb="4" eb="6">
      <t>セイヤク</t>
    </rPh>
    <phoneticPr fontId="4"/>
  </si>
  <si>
    <t>レコード長</t>
    <rPh sb="4" eb="5">
      <t>チョウ</t>
    </rPh>
    <phoneticPr fontId="4"/>
  </si>
  <si>
    <t>レコード数</t>
    <rPh sb="4" eb="5">
      <t>スウ</t>
    </rPh>
    <phoneticPr fontId="4"/>
  </si>
  <si>
    <t>追加DDL</t>
    <rPh sb="0" eb="2">
      <t>ツイカ</t>
    </rPh>
    <phoneticPr fontId="4"/>
  </si>
  <si>
    <t>STORAGE句</t>
    <rPh sb="7" eb="8">
      <t>ク</t>
    </rPh>
    <phoneticPr fontId="4"/>
  </si>
  <si>
    <t>SQL出力対象</t>
    <rPh sb="3" eb="5">
      <t>シュツリョク</t>
    </rPh>
    <rPh sb="5" eb="7">
      <t>タイショウ</t>
    </rPh>
    <phoneticPr fontId="4"/>
  </si>
  <si>
    <t>出力パス</t>
    <rPh sb="0" eb="2">
      <t>シュツリョク</t>
    </rPh>
    <phoneticPr fontId="4"/>
  </si>
  <si>
    <t>共通項目
出力無し</t>
    <rPh sb="0" eb="2">
      <t>キョウツウ</t>
    </rPh>
    <rPh sb="2" eb="4">
      <t>コウモク</t>
    </rPh>
    <rPh sb="5" eb="7">
      <t>シュツリョク</t>
    </rPh>
    <rPh sb="7" eb="8">
      <t>ナ</t>
    </rPh>
    <phoneticPr fontId="4"/>
  </si>
  <si>
    <t>テーブル
種別</t>
    <rPh sb="5" eb="7">
      <t>シュベツ</t>
    </rPh>
    <phoneticPr fontId="4"/>
  </si>
  <si>
    <t>初期サイズ(MB)</t>
    <rPh sb="0" eb="2">
      <t>ショキ</t>
    </rPh>
    <phoneticPr fontId="4"/>
  </si>
  <si>
    <t>未指定の場合</t>
    <rPh sb="0" eb="3">
      <t>ミシテイ</t>
    </rPh>
    <rPh sb="4" eb="6">
      <t>バアイ</t>
    </rPh>
    <phoneticPr fontId="4"/>
  </si>
  <si>
    <t>自動計算</t>
    <rPh sb="0" eb="2">
      <t>ジドウ</t>
    </rPh>
    <rPh sb="2" eb="4">
      <t>ケイサン</t>
    </rPh>
    <phoneticPr fontId="4"/>
  </si>
  <si>
    <t>ﾃﾞﾌｫﾙﾄ</t>
    <phoneticPr fontId="4"/>
  </si>
  <si>
    <t>小数桁</t>
    <rPh sb="0" eb="2">
      <t>ショウスウ</t>
    </rPh>
    <rPh sb="2" eb="3">
      <t>ケタ</t>
    </rPh>
    <phoneticPr fontId="4"/>
  </si>
  <si>
    <t>コード</t>
  </si>
  <si>
    <t>文字列</t>
  </si>
  <si>
    <t>区分</t>
  </si>
  <si>
    <t>フラグ</t>
  </si>
  <si>
    <t>日時</t>
  </si>
  <si>
    <t>日付</t>
  </si>
  <si>
    <t>【型の対応】</t>
    <rPh sb="1" eb="2">
      <t>カタ</t>
    </rPh>
    <rPh sb="3" eb="5">
      <t>タイオウ</t>
    </rPh>
    <phoneticPr fontId="4"/>
  </si>
  <si>
    <t>DATE</t>
  </si>
  <si>
    <t>ID</t>
    <phoneticPr fontId="4"/>
  </si>
  <si>
    <t>数値</t>
  </si>
  <si>
    <t>数値</t>
    <rPh sb="0" eb="2">
      <t>スウチ</t>
    </rPh>
    <phoneticPr fontId="4"/>
  </si>
  <si>
    <t>ID</t>
    <phoneticPr fontId="4"/>
  </si>
  <si>
    <t>項目論理名</t>
    <rPh sb="0" eb="2">
      <t>コウモク</t>
    </rPh>
    <rPh sb="2" eb="4">
      <t>ロンリ</t>
    </rPh>
    <rPh sb="4" eb="5">
      <t>メイ</t>
    </rPh>
    <phoneticPr fontId="4"/>
  </si>
  <si>
    <t>項目物理名</t>
    <rPh sb="0" eb="2">
      <t>コウモク</t>
    </rPh>
    <rPh sb="2" eb="4">
      <t>ブツリ</t>
    </rPh>
    <rPh sb="4" eb="5">
      <t>メイ</t>
    </rPh>
    <phoneticPr fontId="4"/>
  </si>
  <si>
    <t>連番</t>
  </si>
  <si>
    <t>id</t>
    <phoneticPr fontId="4"/>
  </si>
  <si>
    <t>ID</t>
  </si>
  <si>
    <t>dataShubetsu</t>
    <phoneticPr fontId="4"/>
  </si>
  <si>
    <t>parameter</t>
  </si>
  <si>
    <t>status</t>
  </si>
  <si>
    <t>message</t>
  </si>
  <si>
    <t>jikkoYoteiNichiji</t>
  </si>
  <si>
    <t>オンラインバッチ実行状況管理</t>
  </si>
  <si>
    <t>OnlineBatchControl</t>
    <phoneticPr fontId="4"/>
  </si>
  <si>
    <t>データ種別</t>
    <rPh sb="3" eb="5">
      <t>シュベツ</t>
    </rPh>
    <phoneticPr fontId="4"/>
  </si>
  <si>
    <t>パラメータ</t>
    <phoneticPr fontId="4"/>
  </si>
  <si>
    <t>ステータス</t>
    <phoneticPr fontId="4"/>
  </si>
  <si>
    <t>メッセージ</t>
    <phoneticPr fontId="4"/>
  </si>
  <si>
    <t>実行予定日時</t>
    <rPh sb="0" eb="2">
      <t>ジッコウ</t>
    </rPh>
    <rPh sb="2" eb="4">
      <t>ヨテイ</t>
    </rPh>
    <rPh sb="4" eb="6">
      <t>ニチジ</t>
    </rPh>
    <phoneticPr fontId="4"/>
  </si>
  <si>
    <t>0:正常終了
1:異常終了
2:キャンセル終了
3:実行中
4:実行待ち(初期状態)
5:キャンセル待ち</t>
    <phoneticPr fontId="4"/>
  </si>
  <si>
    <t>T</t>
  </si>
  <si>
    <t>ID</t>
    <phoneticPr fontId="4"/>
  </si>
  <si>
    <t>id</t>
    <phoneticPr fontId="4"/>
  </si>
  <si>
    <t>模試結果</t>
    <rPh sb="0" eb="2">
      <t>モシ</t>
    </rPh>
    <rPh sb="2" eb="4">
      <t>ケッカ</t>
    </rPh>
    <phoneticPr fontId="4"/>
  </si>
  <si>
    <t>模試設問結果</t>
    <rPh sb="0" eb="2">
      <t>モシ</t>
    </rPh>
    <rPh sb="2" eb="4">
      <t>セツモン</t>
    </rPh>
    <rPh sb="4" eb="6">
      <t>ケッカ</t>
    </rPh>
    <phoneticPr fontId="4"/>
  </si>
  <si>
    <t>模試志望校結果</t>
    <rPh sb="0" eb="2">
      <t>モシ</t>
    </rPh>
    <rPh sb="2" eb="5">
      <t>シボウコウ</t>
    </rPh>
    <rPh sb="5" eb="7">
      <t>ケッカ</t>
    </rPh>
    <phoneticPr fontId="4"/>
  </si>
  <si>
    <t>模試成績</t>
  </si>
  <si>
    <t>模試科目成績</t>
    <rPh sb="2" eb="4">
      <t>カモク</t>
    </rPh>
    <phoneticPr fontId="4"/>
  </si>
  <si>
    <t>模試設問成績</t>
  </si>
  <si>
    <t>MoshiKekka</t>
  </si>
  <si>
    <t>MoshiKamokuSeiseki</t>
  </si>
  <si>
    <t>MoshiSetsuKekka</t>
  </si>
  <si>
    <t>MoshiShibokoSeiseki</t>
  </si>
  <si>
    <t>模試結果偏差値</t>
  </si>
  <si>
    <t>MoshiKekkaHensachi</t>
  </si>
  <si>
    <t>標準偏差</t>
  </si>
  <si>
    <t>男人数</t>
    <rPh sb="0" eb="1">
      <t>オトコ</t>
    </rPh>
    <rPh sb="1" eb="3">
      <t>ニンズウ</t>
    </rPh>
    <phoneticPr fontId="1"/>
  </si>
  <si>
    <t>男平均点</t>
    <rPh sb="0" eb="1">
      <t>オトコ</t>
    </rPh>
    <rPh sb="1" eb="4">
      <t>ヘイキンテン</t>
    </rPh>
    <phoneticPr fontId="1"/>
  </si>
  <si>
    <t>男標準偏差</t>
    <rPh sb="0" eb="1">
      <t>オトコ</t>
    </rPh>
    <rPh sb="1" eb="3">
      <t>ヒョウジュン</t>
    </rPh>
    <rPh sb="3" eb="5">
      <t>ヘンサ</t>
    </rPh>
    <phoneticPr fontId="1"/>
  </si>
  <si>
    <t>女人数</t>
    <rPh sb="0" eb="1">
      <t>オンナ</t>
    </rPh>
    <rPh sb="1" eb="3">
      <t>ニンズウ</t>
    </rPh>
    <phoneticPr fontId="1"/>
  </si>
  <si>
    <t>女平均点</t>
    <rPh sb="0" eb="1">
      <t>オンナ</t>
    </rPh>
    <rPh sb="1" eb="4">
      <t>ヘイキンテン</t>
    </rPh>
    <phoneticPr fontId="1"/>
  </si>
  <si>
    <t>女標準偏差</t>
    <rPh sb="0" eb="1">
      <t>オンナ</t>
    </rPh>
    <rPh sb="1" eb="3">
      <t>ヒョウジュン</t>
    </rPh>
    <rPh sb="3" eb="5">
      <t>ヘンサ</t>
    </rPh>
    <phoneticPr fontId="1"/>
  </si>
  <si>
    <t>hyojunHensa</t>
  </si>
  <si>
    <t>ninsu_m</t>
  </si>
  <si>
    <t>heikinTen_m</t>
  </si>
  <si>
    <t>hyojunHensa_m</t>
  </si>
  <si>
    <t>ninsu_f</t>
  </si>
  <si>
    <t>heikinTen_f</t>
  </si>
  <si>
    <t>hyojunHensa_f</t>
  </si>
  <si>
    <t>模試設問構成ID</t>
    <rPh sb="2" eb="4">
      <t>セツモン</t>
    </rPh>
    <rPh sb="4" eb="6">
      <t>コウセイ</t>
    </rPh>
    <phoneticPr fontId="1"/>
  </si>
  <si>
    <t>模試結果ID</t>
    <rPh sb="2" eb="4">
      <t>ケッカ</t>
    </rPh>
    <phoneticPr fontId="1"/>
  </si>
  <si>
    <t>平均点</t>
    <rPh sb="0" eb="3">
      <t>ヘイキンテン</t>
    </rPh>
    <phoneticPr fontId="1"/>
  </si>
  <si>
    <t>moshiSetsuKoseiId</t>
  </si>
  <si>
    <t>moshikekkaId</t>
  </si>
  <si>
    <t>heikinTen</t>
  </si>
  <si>
    <t>模試科目構成ID</t>
    <rPh sb="2" eb="4">
      <t>カモク</t>
    </rPh>
    <rPh sb="4" eb="6">
      <t>コウセイ</t>
    </rPh>
    <phoneticPr fontId="1"/>
  </si>
  <si>
    <t>人数</t>
    <rPh sb="0" eb="2">
      <t>ニンズウ</t>
    </rPh>
    <phoneticPr fontId="1"/>
  </si>
  <si>
    <t>標準偏差</t>
    <rPh sb="0" eb="2">
      <t>ヒョウジュン</t>
    </rPh>
    <rPh sb="2" eb="4">
      <t>ヘンサ</t>
    </rPh>
    <phoneticPr fontId="1"/>
  </si>
  <si>
    <t>平均偏差値</t>
    <rPh sb="0" eb="2">
      <t>ヘイキン</t>
    </rPh>
    <rPh sb="2" eb="5">
      <t>ヘンサチ</t>
    </rPh>
    <phoneticPr fontId="1"/>
  </si>
  <si>
    <t>女子用基準偏差値８０</t>
    <rPh sb="0" eb="2">
      <t>ジョシ</t>
    </rPh>
    <phoneticPr fontId="1"/>
  </si>
  <si>
    <t>ninsu</t>
  </si>
  <si>
    <t>heikinHensachi</t>
  </si>
  <si>
    <t>生徒ID</t>
    <rPh sb="0" eb="2">
      <t>セイト</t>
    </rPh>
    <phoneticPr fontId="1"/>
  </si>
  <si>
    <t>順位</t>
    <rPh sb="0" eb="2">
      <t>ジュンイ</t>
    </rPh>
    <phoneticPr fontId="1"/>
  </si>
  <si>
    <t>偏差値</t>
    <rPh sb="0" eb="3">
      <t>ヘンサチ</t>
    </rPh>
    <phoneticPr fontId="1"/>
  </si>
  <si>
    <t>合格率</t>
    <rPh sb="0" eb="3">
      <t>ゴウカクリツ</t>
    </rPh>
    <phoneticPr fontId="1"/>
  </si>
  <si>
    <t>seitoId</t>
  </si>
  <si>
    <t>moshiId</t>
  </si>
  <si>
    <t>juni</t>
  </si>
  <si>
    <t>hensachi</t>
  </si>
  <si>
    <t>gokakuritsu</t>
  </si>
  <si>
    <t>男女別順位</t>
  </si>
  <si>
    <t>danjoJuni</t>
  </si>
  <si>
    <t>偏差値</t>
  </si>
  <si>
    <t>MoshiNoryokuSeiseki</t>
    <phoneticPr fontId="12"/>
  </si>
  <si>
    <t>最低点</t>
    <rPh sb="0" eb="2">
      <t>サイテイ</t>
    </rPh>
    <rPh sb="2" eb="3">
      <t>テン</t>
    </rPh>
    <phoneticPr fontId="1"/>
  </si>
  <si>
    <t>saiteiTen</t>
  </si>
  <si>
    <t>saikoTen</t>
  </si>
  <si>
    <t>最高点</t>
    <rPh sb="0" eb="2">
      <t>サイコウ</t>
    </rPh>
    <rPh sb="2" eb="3">
      <t>テン</t>
    </rPh>
    <phoneticPr fontId="1"/>
  </si>
  <si>
    <t>moshiKamokuKoseiId</t>
  </si>
  <si>
    <t>moshiJuni</t>
  </si>
  <si>
    <t>模試ID</t>
    <rPh sb="0" eb="2">
      <t>モシ</t>
    </rPh>
    <phoneticPr fontId="12"/>
  </si>
  <si>
    <t>模試順位</t>
    <rPh sb="0" eb="2">
      <t>モシ</t>
    </rPh>
    <rPh sb="2" eb="4">
      <t>ジュンイ</t>
    </rPh>
    <phoneticPr fontId="12"/>
  </si>
  <si>
    <t>moshiSeisekiId</t>
  </si>
  <si>
    <t>moshiKamokuJuni</t>
  </si>
  <si>
    <t>biko</t>
  </si>
  <si>
    <t>模試成績ID</t>
    <rPh sb="2" eb="4">
      <t>セイセキ</t>
    </rPh>
    <phoneticPr fontId="1"/>
  </si>
  <si>
    <t>合計</t>
    <rPh sb="0" eb="2">
      <t>ゴウケイ</t>
    </rPh>
    <phoneticPr fontId="12"/>
  </si>
  <si>
    <t>模試科目順位</t>
    <rPh sb="0" eb="2">
      <t>モシ</t>
    </rPh>
    <rPh sb="2" eb="4">
      <t>カモク</t>
    </rPh>
    <rPh sb="4" eb="6">
      <t>ジュンイ</t>
    </rPh>
    <phoneticPr fontId="12"/>
  </si>
  <si>
    <t>欠席フラグ</t>
    <rPh sb="0" eb="2">
      <t>ケッセキ</t>
    </rPh>
    <phoneticPr fontId="12"/>
  </si>
  <si>
    <t>備考</t>
    <rPh sb="0" eb="2">
      <t>ビコウ</t>
    </rPh>
    <phoneticPr fontId="12"/>
  </si>
  <si>
    <t>tensu</t>
  </si>
  <si>
    <t>模試科目成績ID</t>
    <rPh sb="2" eb="4">
      <t>カモク</t>
    </rPh>
    <rPh sb="4" eb="6">
      <t>セイセキ</t>
    </rPh>
    <phoneticPr fontId="1"/>
  </si>
  <si>
    <t>点数</t>
    <rPh sb="0" eb="2">
      <t>テンスウ</t>
    </rPh>
    <phoneticPr fontId="12"/>
  </si>
  <si>
    <t>テーブル論理名</t>
    <rPh sb="4" eb="6">
      <t>ロンリ</t>
    </rPh>
    <rPh sb="6" eb="7">
      <t>メイ</t>
    </rPh>
    <phoneticPr fontId="4"/>
  </si>
  <si>
    <t>テーブル物理名</t>
    <rPh sb="4" eb="6">
      <t>ブツリ</t>
    </rPh>
    <rPh sb="6" eb="7">
      <t>メイ</t>
    </rPh>
    <phoneticPr fontId="4"/>
  </si>
  <si>
    <t>模試志望校別成績</t>
    <rPh sb="0" eb="2">
      <t>モシ</t>
    </rPh>
    <phoneticPr fontId="12"/>
  </si>
  <si>
    <t>模試</t>
    <rPh sb="0" eb="2">
      <t>モシ</t>
    </rPh>
    <phoneticPr fontId="4"/>
  </si>
  <si>
    <t>nendo</t>
  </si>
  <si>
    <t>moshiCd</t>
    <phoneticPr fontId="12"/>
  </si>
  <si>
    <t>moshiMei</t>
  </si>
  <si>
    <t>shukeiBi</t>
  </si>
  <si>
    <t>年度</t>
    <rPh sb="0" eb="2">
      <t>ネンド</t>
    </rPh>
    <phoneticPr fontId="12"/>
  </si>
  <si>
    <t>模試コード</t>
    <rPh sb="0" eb="2">
      <t>モシ</t>
    </rPh>
    <phoneticPr fontId="12"/>
  </si>
  <si>
    <t>模試名</t>
    <rPh sb="0" eb="2">
      <t>モシ</t>
    </rPh>
    <rPh sb="2" eb="3">
      <t>メイ</t>
    </rPh>
    <phoneticPr fontId="12"/>
  </si>
  <si>
    <t>集計日</t>
    <rPh sb="0" eb="2">
      <t>シュウケイ</t>
    </rPh>
    <rPh sb="2" eb="3">
      <t>ビ</t>
    </rPh>
    <phoneticPr fontId="12"/>
  </si>
  <si>
    <t>模試区分ID</t>
    <rPh sb="0" eb="2">
      <t>モシ</t>
    </rPh>
    <rPh sb="2" eb="4">
      <t>クブン</t>
    </rPh>
    <phoneticPr fontId="12"/>
  </si>
  <si>
    <t>総合科目1ID</t>
    <rPh sb="0" eb="2">
      <t>ソウゴウ</t>
    </rPh>
    <rPh sb="2" eb="4">
      <t>カモク</t>
    </rPh>
    <phoneticPr fontId="12"/>
  </si>
  <si>
    <t>総合科目2ID</t>
    <rPh sb="0" eb="2">
      <t>ソウゴウ</t>
    </rPh>
    <rPh sb="2" eb="4">
      <t>カモク</t>
    </rPh>
    <phoneticPr fontId="12"/>
  </si>
  <si>
    <t>sogoKamoku1Id</t>
  </si>
  <si>
    <t>sogoKamoku2Id</t>
  </si>
  <si>
    <t>学年ID</t>
    <rPh sb="0" eb="2">
      <t>ガクネン</t>
    </rPh>
    <phoneticPr fontId="12"/>
  </si>
  <si>
    <t>gakunenId</t>
  </si>
  <si>
    <t>Moshi</t>
    <phoneticPr fontId="4"/>
  </si>
  <si>
    <t>M</t>
  </si>
  <si>
    <t>m_moshikamoku</t>
  </si>
  <si>
    <t>id</t>
    <phoneticPr fontId="12"/>
  </si>
  <si>
    <t>m_moshikbn</t>
  </si>
  <si>
    <t>模試科目</t>
    <rPh sb="0" eb="2">
      <t>モシ</t>
    </rPh>
    <rPh sb="2" eb="4">
      <t>カモク</t>
    </rPh>
    <phoneticPr fontId="12"/>
  </si>
  <si>
    <t>MoshiKamoku</t>
    <phoneticPr fontId="12"/>
  </si>
  <si>
    <t>moshiKamokuCd</t>
  </si>
  <si>
    <t>moshiKamokuMei</t>
  </si>
  <si>
    <t>hyojiJun</t>
  </si>
  <si>
    <t>模試科目コード</t>
    <rPh sb="0" eb="2">
      <t>モシ</t>
    </rPh>
    <rPh sb="2" eb="4">
      <t>カモク</t>
    </rPh>
    <phoneticPr fontId="12"/>
  </si>
  <si>
    <t>模試科目名</t>
    <rPh sb="0" eb="2">
      <t>モシ</t>
    </rPh>
    <rPh sb="2" eb="4">
      <t>カモク</t>
    </rPh>
    <rPh sb="4" eb="5">
      <t>メイ</t>
    </rPh>
    <phoneticPr fontId="12"/>
  </si>
  <si>
    <t>表示順</t>
    <rPh sb="0" eb="2">
      <t>ヒョウジ</t>
    </rPh>
    <rPh sb="2" eb="3">
      <t>ジュン</t>
    </rPh>
    <phoneticPr fontId="12"/>
  </si>
  <si>
    <t>setsuBg</t>
  </si>
  <si>
    <t>haiten</t>
  </si>
  <si>
    <t>setsumonMei</t>
  </si>
  <si>
    <t>rikeiShikoFlg</t>
    <phoneticPr fontId="12"/>
  </si>
  <si>
    <t>rikeiChishikiFlg</t>
  </si>
  <si>
    <t>bunkeiShikoFlg</t>
  </si>
  <si>
    <t>bunkeiChishikiFlg</t>
  </si>
  <si>
    <t>設問名</t>
    <rPh sb="0" eb="2">
      <t>セツモン</t>
    </rPh>
    <rPh sb="2" eb="3">
      <t>メイ</t>
    </rPh>
    <phoneticPr fontId="12"/>
  </si>
  <si>
    <t>理系思考力フラグ</t>
    <phoneticPr fontId="12"/>
  </si>
  <si>
    <t>理系知識フラグ</t>
  </si>
  <si>
    <t>文系思考力フラグ</t>
  </si>
  <si>
    <t>文系知識フラグ</t>
  </si>
  <si>
    <t>id</t>
    <phoneticPr fontId="12"/>
  </si>
  <si>
    <t>設問番号</t>
    <rPh sb="0" eb="2">
      <t>セツモン</t>
    </rPh>
    <rPh sb="2" eb="4">
      <t>バンゴウ</t>
    </rPh>
    <phoneticPr fontId="12"/>
  </si>
  <si>
    <t>設問内容</t>
    <phoneticPr fontId="12"/>
  </si>
  <si>
    <t>setsumonNaiyo</t>
    <phoneticPr fontId="12"/>
  </si>
  <si>
    <t>配点</t>
    <rPh sb="0" eb="2">
      <t>ハイテン</t>
    </rPh>
    <phoneticPr fontId="12"/>
  </si>
  <si>
    <t>印字用名称_短</t>
  </si>
  <si>
    <t>印字用名称_長</t>
    <rPh sb="6" eb="7">
      <t>チョウ</t>
    </rPh>
    <phoneticPr fontId="12"/>
  </si>
  <si>
    <t>印字用名称_中</t>
    <rPh sb="6" eb="7">
      <t>チュウ</t>
    </rPh>
    <phoneticPr fontId="12"/>
  </si>
  <si>
    <t>prnName_s</t>
    <phoneticPr fontId="12"/>
  </si>
  <si>
    <t>prnName_l</t>
    <phoneticPr fontId="12"/>
  </si>
  <si>
    <t>prnName_m</t>
    <phoneticPr fontId="12"/>
  </si>
  <si>
    <t>模試メッセージ</t>
    <rPh sb="0" eb="2">
      <t>モシ</t>
    </rPh>
    <phoneticPr fontId="12"/>
  </si>
  <si>
    <t>MoshiMsg</t>
    <phoneticPr fontId="12"/>
  </si>
  <si>
    <t>メッセージ区分</t>
  </si>
  <si>
    <t>メッセージコード</t>
  </si>
  <si>
    <t>メッセージ2</t>
    <phoneticPr fontId="12"/>
  </si>
  <si>
    <t>メッセージ1</t>
    <phoneticPr fontId="12"/>
  </si>
  <si>
    <t>msg1</t>
    <phoneticPr fontId="12"/>
  </si>
  <si>
    <t>msg2</t>
    <phoneticPr fontId="12"/>
  </si>
  <si>
    <t>cd</t>
    <phoneticPr fontId="12"/>
  </si>
  <si>
    <t>kbn</t>
    <phoneticPr fontId="12"/>
  </si>
  <si>
    <t>M_MOSI_H_HYOKA_MSG.MSG_KBN
M_MOSI_S_HYOKA_MSG.GAKUNEN_CD</t>
    <phoneticPr fontId="12"/>
  </si>
  <si>
    <t>M_MOSI_H_HYOKA_MSG.MSG_CD
M_MOSI_S_HYOKA_MSG.S_HYOKA_RANK</t>
    <phoneticPr fontId="12"/>
  </si>
  <si>
    <t>M_MOSI_H_HYOKA_MSG.HYOKA__MSG1
M_MOSI_S_HYOKA_MSG.S_HYOKA__MSG1</t>
    <phoneticPr fontId="12"/>
  </si>
  <si>
    <t>M_MOSI_H_HYOKA_MSG.HYOKA__MSG2
M_MOSI_S_HYOKA_MSG.S_HYOKA__MSG2</t>
    <phoneticPr fontId="12"/>
  </si>
  <si>
    <t>MoshiShibokoKekka</t>
    <phoneticPr fontId="12"/>
  </si>
  <si>
    <t>MoshiSeiseki</t>
    <phoneticPr fontId="12"/>
  </si>
  <si>
    <t>判定科目ID</t>
    <rPh sb="0" eb="2">
      <t>ハンテイ</t>
    </rPh>
    <rPh sb="2" eb="4">
      <t>カモク</t>
    </rPh>
    <phoneticPr fontId="12"/>
  </si>
  <si>
    <t>hanKamokuId</t>
    <phoneticPr fontId="12"/>
  </si>
  <si>
    <t>M_MOSI.HKMK_CD</t>
    <phoneticPr fontId="12"/>
  </si>
  <si>
    <t>ｶｽｹｰﾄﾞ</t>
    <phoneticPr fontId="12"/>
  </si>
  <si>
    <t>t_moshikekka</t>
    <phoneticPr fontId="12"/>
  </si>
  <si>
    <t>id</t>
    <phoneticPr fontId="12"/>
  </si>
  <si>
    <t>t_moshiseiseki</t>
  </si>
  <si>
    <t>t_moshikamokuseiseki</t>
  </si>
  <si>
    <t>模試ID</t>
    <phoneticPr fontId="1"/>
  </si>
  <si>
    <t>moshiId</t>
    <phoneticPr fontId="12"/>
  </si>
  <si>
    <t>模試能力別成績</t>
    <phoneticPr fontId="12"/>
  </si>
  <si>
    <t>成績表出力区分</t>
    <rPh sb="0" eb="2">
      <t>セイセキ</t>
    </rPh>
    <rPh sb="2" eb="3">
      <t>ヒョウ</t>
    </rPh>
    <rPh sb="3" eb="5">
      <t>シュツリョク</t>
    </rPh>
    <rPh sb="5" eb="7">
      <t>クブン</t>
    </rPh>
    <phoneticPr fontId="12"/>
  </si>
  <si>
    <t>seisekiShuturyokuKbn</t>
    <phoneticPr fontId="12"/>
  </si>
  <si>
    <t>moshiKamokuSeisekiId</t>
    <phoneticPr fontId="12"/>
  </si>
  <si>
    <t>MoshiSetsuSeiseki</t>
    <phoneticPr fontId="12"/>
  </si>
  <si>
    <t>模試能力別結果</t>
  </si>
  <si>
    <t>能力分野区分</t>
    <rPh sb="0" eb="2">
      <t>ノウリョク</t>
    </rPh>
    <rPh sb="2" eb="4">
      <t>ブンヤ</t>
    </rPh>
    <rPh sb="4" eb="6">
      <t>クブン</t>
    </rPh>
    <phoneticPr fontId="12"/>
  </si>
  <si>
    <t>noryokuKbn</t>
    <phoneticPr fontId="12"/>
  </si>
  <si>
    <t>平均点1</t>
    <rPh sb="0" eb="3">
      <t>ヘイキンテン</t>
    </rPh>
    <phoneticPr fontId="12"/>
  </si>
  <si>
    <t>標準偏差2</t>
    <phoneticPr fontId="12"/>
  </si>
  <si>
    <t>標準偏差1</t>
    <phoneticPr fontId="12"/>
  </si>
  <si>
    <t>平均点2</t>
    <rPh sb="0" eb="3">
      <t>ヘイキンテン</t>
    </rPh>
    <phoneticPr fontId="12"/>
  </si>
  <si>
    <t>平均点3</t>
    <rPh sb="0" eb="3">
      <t>ヘイキンテン</t>
    </rPh>
    <phoneticPr fontId="12"/>
  </si>
  <si>
    <t>標準偏差3</t>
  </si>
  <si>
    <t>平均点4</t>
    <rPh sb="0" eb="3">
      <t>ヘイキンテン</t>
    </rPh>
    <phoneticPr fontId="12"/>
  </si>
  <si>
    <t>平均点5</t>
    <rPh sb="0" eb="3">
      <t>ヘイキンテン</t>
    </rPh>
    <phoneticPr fontId="12"/>
  </si>
  <si>
    <t>avg1</t>
  </si>
  <si>
    <t>avg2</t>
  </si>
  <si>
    <t>avg3</t>
  </si>
  <si>
    <t>avg4</t>
  </si>
  <si>
    <t>avg5</t>
  </si>
  <si>
    <t>std1</t>
  </si>
  <si>
    <t>std2</t>
  </si>
  <si>
    <t>std3</t>
  </si>
  <si>
    <t>std5</t>
  </si>
  <si>
    <t>MoshiNoryokuKekka</t>
    <phoneticPr fontId="12"/>
  </si>
  <si>
    <t>合計1</t>
    <rPh sb="0" eb="2">
      <t>ゴウケイ</t>
    </rPh>
    <phoneticPr fontId="12"/>
  </si>
  <si>
    <t>偏差値1</t>
    <rPh sb="0" eb="3">
      <t>ヘンサチ</t>
    </rPh>
    <phoneticPr fontId="1"/>
  </si>
  <si>
    <t>gokei1</t>
    <phoneticPr fontId="12"/>
  </si>
  <si>
    <t>hensachi1</t>
    <phoneticPr fontId="12"/>
  </si>
  <si>
    <t>合計2</t>
    <rPh sb="0" eb="2">
      <t>ゴウケイ</t>
    </rPh>
    <phoneticPr fontId="12"/>
  </si>
  <si>
    <t>gokei2</t>
  </si>
  <si>
    <t>偏差値2</t>
    <rPh sb="0" eb="3">
      <t>ヘンサチ</t>
    </rPh>
    <phoneticPr fontId="1"/>
  </si>
  <si>
    <t>hensachi2</t>
  </si>
  <si>
    <t>合計3</t>
    <rPh sb="0" eb="2">
      <t>ゴウケイ</t>
    </rPh>
    <phoneticPr fontId="12"/>
  </si>
  <si>
    <t>gokei3</t>
  </si>
  <si>
    <t>偏差値3</t>
    <rPh sb="0" eb="3">
      <t>ヘンサチ</t>
    </rPh>
    <phoneticPr fontId="1"/>
  </si>
  <si>
    <t>hensachi3</t>
  </si>
  <si>
    <t>合計4</t>
    <rPh sb="0" eb="2">
      <t>ゴウケイ</t>
    </rPh>
    <phoneticPr fontId="12"/>
  </si>
  <si>
    <t>gokei4</t>
  </si>
  <si>
    <t>偏差値4</t>
    <rPh sb="0" eb="3">
      <t>ヘンサチ</t>
    </rPh>
    <phoneticPr fontId="1"/>
  </si>
  <si>
    <t>hensachi4</t>
  </si>
  <si>
    <t>合計5</t>
    <rPh sb="0" eb="2">
      <t>ゴウケイ</t>
    </rPh>
    <phoneticPr fontId="12"/>
  </si>
  <si>
    <t>gokei5</t>
  </si>
  <si>
    <t>偏差値5</t>
    <rPh sb="0" eb="3">
      <t>ヘンサチ</t>
    </rPh>
    <phoneticPr fontId="1"/>
  </si>
  <si>
    <t>hensachi5</t>
  </si>
  <si>
    <t>std4</t>
    <phoneticPr fontId="12"/>
  </si>
  <si>
    <t>gokei</t>
    <phoneticPr fontId="12"/>
  </si>
  <si>
    <t>kessekiFg</t>
    <phoneticPr fontId="12"/>
  </si>
  <si>
    <t>模試区分</t>
    <rPh sb="0" eb="2">
      <t>モシ</t>
    </rPh>
    <rPh sb="2" eb="4">
      <t>クブン</t>
    </rPh>
    <phoneticPr fontId="12"/>
  </si>
  <si>
    <t>学校年度</t>
    <rPh sb="0" eb="2">
      <t>ガッコウ</t>
    </rPh>
    <rPh sb="2" eb="4">
      <t>ネンド</t>
    </rPh>
    <phoneticPr fontId="12"/>
  </si>
  <si>
    <t>年度</t>
    <rPh sb="0" eb="2">
      <t>ネンド</t>
    </rPh>
    <phoneticPr fontId="12"/>
  </si>
  <si>
    <t>学校ID</t>
    <rPh sb="0" eb="2">
      <t>ガッコウ</t>
    </rPh>
    <phoneticPr fontId="12"/>
  </si>
  <si>
    <t>募集数</t>
  </si>
  <si>
    <t>受験者数</t>
  </si>
  <si>
    <t>合格者数</t>
  </si>
  <si>
    <t>学校情報１</t>
  </si>
  <si>
    <t>学校情報２</t>
  </si>
  <si>
    <t>学校情報３</t>
  </si>
  <si>
    <t>学校情報４</t>
  </si>
  <si>
    <t>学校情報５</t>
  </si>
  <si>
    <t>学校情報６</t>
  </si>
  <si>
    <t>GakkoNendo</t>
    <phoneticPr fontId="12"/>
  </si>
  <si>
    <t xml:space="preserve">GAKOU_MSG2 </t>
  </si>
  <si>
    <t xml:space="preserve">GAKOU_MSG3 </t>
  </si>
  <si>
    <t xml:space="preserve">GAKOU_MSG4 </t>
  </si>
  <si>
    <t xml:space="preserve">GAKOU_MSG5 </t>
  </si>
  <si>
    <t xml:space="preserve">GAKOU_MSG6 </t>
  </si>
  <si>
    <t xml:space="preserve">GAKOU_MSG1 </t>
  </si>
  <si>
    <t xml:space="preserve">NENDO      </t>
  </si>
  <si>
    <t xml:space="preserve">BOSYU_SU   </t>
  </si>
  <si>
    <t xml:space="preserve">JYUKEN_SU  </t>
  </si>
  <si>
    <t xml:space="preserve">GOUKAKU_SU </t>
  </si>
  <si>
    <t xml:space="preserve">SCHL_CD    </t>
  </si>
  <si>
    <t>moshiShubetsuId</t>
  </si>
  <si>
    <t>moshiKbnCd</t>
  </si>
  <si>
    <t>moshiKbnMei</t>
  </si>
  <si>
    <t>模試区分名</t>
    <rPh sb="0" eb="2">
      <t>モシ</t>
    </rPh>
    <rPh sb="2" eb="4">
      <t>クブン</t>
    </rPh>
    <rPh sb="4" eb="5">
      <t>メイ</t>
    </rPh>
    <phoneticPr fontId="12"/>
  </si>
  <si>
    <t>模試区分コード</t>
    <rPh sb="0" eb="2">
      <t>モシ</t>
    </rPh>
    <rPh sb="2" eb="4">
      <t>クブン</t>
    </rPh>
    <phoneticPr fontId="12"/>
  </si>
  <si>
    <t>模試種別ID</t>
    <rPh sb="0" eb="2">
      <t>モシ</t>
    </rPh>
    <rPh sb="2" eb="4">
      <t>シュベツ</t>
    </rPh>
    <phoneticPr fontId="12"/>
  </si>
  <si>
    <t>m_moshishubetsu</t>
    <phoneticPr fontId="12"/>
  </si>
  <si>
    <t>id</t>
    <phoneticPr fontId="12"/>
  </si>
  <si>
    <t>gakkoId</t>
    <phoneticPr fontId="12"/>
  </si>
  <si>
    <t>履歴出力不要フラグ</t>
  </si>
  <si>
    <t>rierkiHuyoFg</t>
    <phoneticPr fontId="12"/>
  </si>
  <si>
    <t>校舎</t>
    <rPh sb="0" eb="2">
      <t>コウシャ</t>
    </rPh>
    <phoneticPr fontId="12"/>
  </si>
  <si>
    <t>校舎名略称</t>
  </si>
  <si>
    <t>M_KOSYA.KOSYA_RYAKU</t>
    <phoneticPr fontId="12"/>
  </si>
  <si>
    <t>Kosha</t>
    <phoneticPr fontId="12"/>
  </si>
  <si>
    <t>koshaCd</t>
  </si>
  <si>
    <t>bumonId</t>
  </si>
  <si>
    <t>chikuId</t>
    <phoneticPr fontId="12"/>
  </si>
  <si>
    <t>brandId</t>
  </si>
  <si>
    <t>kaishiBi</t>
    <phoneticPr fontId="12"/>
  </si>
  <si>
    <t>shuryoBi</t>
  </si>
  <si>
    <t>koshaMei</t>
  </si>
  <si>
    <t>koshaKanaMei</t>
  </si>
  <si>
    <t>denwaBg</t>
  </si>
  <si>
    <t>faxBg</t>
  </si>
  <si>
    <t>mailaddress</t>
  </si>
  <si>
    <t>honkaBiko</t>
  </si>
  <si>
    <t>kozaBiko</t>
  </si>
  <si>
    <t>校舎コード</t>
    <rPh sb="0" eb="2">
      <t>コウシャ</t>
    </rPh>
    <phoneticPr fontId="12"/>
  </si>
  <si>
    <t>部門ID</t>
    <rPh sb="0" eb="2">
      <t>ブモン</t>
    </rPh>
    <phoneticPr fontId="12"/>
  </si>
  <si>
    <t>地区ID</t>
    <rPh sb="0" eb="2">
      <t>チク</t>
    </rPh>
    <phoneticPr fontId="12"/>
  </si>
  <si>
    <t>ブランドID</t>
    <phoneticPr fontId="12"/>
  </si>
  <si>
    <t>開始日</t>
    <rPh sb="0" eb="3">
      <t>カイシビ</t>
    </rPh>
    <phoneticPr fontId="12"/>
  </si>
  <si>
    <t>終了日</t>
    <rPh sb="0" eb="3">
      <t>シュウリョウビ</t>
    </rPh>
    <phoneticPr fontId="12"/>
  </si>
  <si>
    <t>校舎名</t>
    <rPh sb="0" eb="2">
      <t>コウシャ</t>
    </rPh>
    <rPh sb="2" eb="3">
      <t>メイ</t>
    </rPh>
    <phoneticPr fontId="12"/>
  </si>
  <si>
    <t>校舎カナ名</t>
    <rPh sb="4" eb="5">
      <t>メイ</t>
    </rPh>
    <phoneticPr fontId="12"/>
  </si>
  <si>
    <t>電話番号</t>
  </si>
  <si>
    <t>電話番号</t>
    <rPh sb="0" eb="2">
      <t>デンワ</t>
    </rPh>
    <rPh sb="2" eb="4">
      <t>バンゴウ</t>
    </rPh>
    <phoneticPr fontId="12"/>
  </si>
  <si>
    <t>FAX番号</t>
    <rPh sb="3" eb="5">
      <t>バンゴウ</t>
    </rPh>
    <phoneticPr fontId="12"/>
  </si>
  <si>
    <t>メールアドレス</t>
    <phoneticPr fontId="12"/>
  </si>
  <si>
    <t>本科備考</t>
    <rPh sb="0" eb="2">
      <t>ホンカ</t>
    </rPh>
    <rPh sb="2" eb="4">
      <t>ビコウ</t>
    </rPh>
    <phoneticPr fontId="12"/>
  </si>
  <si>
    <t>講座備考</t>
    <rPh sb="0" eb="2">
      <t>コウザ</t>
    </rPh>
    <rPh sb="2" eb="4">
      <t>ビコウ</t>
    </rPh>
    <phoneticPr fontId="12"/>
  </si>
  <si>
    <t>koshaMeiRyaku</t>
    <phoneticPr fontId="12"/>
  </si>
  <si>
    <t>(M_PREMOSI_HAN_KOU)</t>
    <phoneticPr fontId="12"/>
  </si>
  <si>
    <t>moshiKbnId</t>
    <phoneticPr fontId="12"/>
  </si>
  <si>
    <t>学校</t>
    <rPh sb="0" eb="2">
      <t>ガッコウ</t>
    </rPh>
    <phoneticPr fontId="12"/>
  </si>
  <si>
    <t>Gakko</t>
    <phoneticPr fontId="12"/>
  </si>
  <si>
    <t>bosyuSu</t>
    <phoneticPr fontId="12"/>
  </si>
  <si>
    <t>jyukenSu</t>
    <phoneticPr fontId="12"/>
  </si>
  <si>
    <t>gokakuSu</t>
    <phoneticPr fontId="12"/>
  </si>
  <si>
    <t>info1</t>
    <phoneticPr fontId="12"/>
  </si>
  <si>
    <t>info2</t>
    <phoneticPr fontId="12"/>
  </si>
  <si>
    <t>info3</t>
    <phoneticPr fontId="12"/>
  </si>
  <si>
    <t>info4</t>
    <phoneticPr fontId="12"/>
  </si>
  <si>
    <t>info5</t>
    <phoneticPr fontId="12"/>
  </si>
  <si>
    <t>info6</t>
    <phoneticPr fontId="12"/>
  </si>
  <si>
    <t>gakkoCd</t>
  </si>
  <si>
    <t>gakkoMei</t>
  </si>
  <si>
    <t>gakkoJusho1</t>
  </si>
  <si>
    <t>gakkoJusho2</t>
  </si>
  <si>
    <t>gakkoShubetsuKbnCd</t>
  </si>
  <si>
    <t>gakkoKana</t>
  </si>
  <si>
    <t>secchiKbnCd</t>
  </si>
  <si>
    <t>学校コード</t>
    <rPh sb="0" eb="2">
      <t>ガッコウ</t>
    </rPh>
    <phoneticPr fontId="12"/>
  </si>
  <si>
    <t>学校名</t>
    <rPh sb="0" eb="2">
      <t>ガッコウ</t>
    </rPh>
    <rPh sb="2" eb="3">
      <t>メイ</t>
    </rPh>
    <phoneticPr fontId="12"/>
  </si>
  <si>
    <t>学校カナ名</t>
    <rPh sb="0" eb="2">
      <t>ガッコウ</t>
    </rPh>
    <rPh sb="4" eb="5">
      <t>メイ</t>
    </rPh>
    <phoneticPr fontId="12"/>
  </si>
  <si>
    <t>学校住所１</t>
    <rPh sb="0" eb="2">
      <t>ガッコウ</t>
    </rPh>
    <rPh sb="2" eb="4">
      <t>ジュウショ</t>
    </rPh>
    <phoneticPr fontId="12"/>
  </si>
  <si>
    <t>学校住所2</t>
    <rPh sb="0" eb="2">
      <t>ガッコウ</t>
    </rPh>
    <rPh sb="2" eb="4">
      <t>ジュウショ</t>
    </rPh>
    <phoneticPr fontId="12"/>
  </si>
  <si>
    <t>学校種別区分コード</t>
    <rPh sb="0" eb="2">
      <t>ガッコウ</t>
    </rPh>
    <rPh sb="2" eb="4">
      <t>シュベツ</t>
    </rPh>
    <rPh sb="4" eb="6">
      <t>クブン</t>
    </rPh>
    <phoneticPr fontId="12"/>
  </si>
  <si>
    <t>設置区分コード</t>
    <rPh sb="0" eb="2">
      <t>セッチ</t>
    </rPh>
    <rPh sb="2" eb="4">
      <t>クブン</t>
    </rPh>
    <phoneticPr fontId="12"/>
  </si>
  <si>
    <t>交通情報１</t>
  </si>
  <si>
    <t>交通情報２</t>
  </si>
  <si>
    <t>交通情報３</t>
  </si>
  <si>
    <t>交通情報４</t>
  </si>
  <si>
    <t>access1</t>
    <phoneticPr fontId="12"/>
  </si>
  <si>
    <t>access2</t>
    <phoneticPr fontId="12"/>
  </si>
  <si>
    <t>access3</t>
    <phoneticPr fontId="12"/>
  </si>
  <si>
    <t>access4</t>
    <phoneticPr fontId="12"/>
  </si>
  <si>
    <t xml:space="preserve">KOUTU_MSG1 </t>
  </si>
  <si>
    <t xml:space="preserve">KOUTU_MSG3 </t>
  </si>
  <si>
    <t xml:space="preserve">KOUTU_MSG4 </t>
  </si>
  <si>
    <t xml:space="preserve">KOUTU_MSG2 </t>
  </si>
  <si>
    <t xml:space="preserve">TEL_NO     </t>
  </si>
  <si>
    <t>MoshiKbn</t>
    <phoneticPr fontId="12"/>
  </si>
  <si>
    <t>m_moshiKbn</t>
    <phoneticPr fontId="12"/>
  </si>
  <si>
    <t>m_gakko</t>
  </si>
  <si>
    <t>クラス順</t>
    <rPh sb="3" eb="4">
      <t>ジュン</t>
    </rPh>
    <phoneticPr fontId="12"/>
  </si>
  <si>
    <t>M_KMK.CLASS_JUN</t>
    <phoneticPr fontId="12"/>
  </si>
  <si>
    <t>模試区分科目構成</t>
    <rPh sb="0" eb="2">
      <t>モシ</t>
    </rPh>
    <rPh sb="2" eb="4">
      <t>クブン</t>
    </rPh>
    <rPh sb="4" eb="6">
      <t>カモク</t>
    </rPh>
    <rPh sb="6" eb="8">
      <t>コウセイ</t>
    </rPh>
    <phoneticPr fontId="12"/>
  </si>
  <si>
    <t>模試区分設問構成</t>
    <rPh sb="0" eb="2">
      <t>モシ</t>
    </rPh>
    <rPh sb="2" eb="4">
      <t>クブン</t>
    </rPh>
    <rPh sb="4" eb="6">
      <t>セツモン</t>
    </rPh>
    <rPh sb="6" eb="8">
      <t>コウセイ</t>
    </rPh>
    <phoneticPr fontId="12"/>
  </si>
  <si>
    <t>MoshiKbnSetsuKosei</t>
    <phoneticPr fontId="12"/>
  </si>
  <si>
    <t>模試設問構成と</t>
    <rPh sb="0" eb="2">
      <t>モシ</t>
    </rPh>
    <rPh sb="2" eb="4">
      <t>セツモン</t>
    </rPh>
    <rPh sb="4" eb="6">
      <t>コウセイ</t>
    </rPh>
    <phoneticPr fontId="12"/>
  </si>
  <si>
    <t>トリガーで連携</t>
    <rPh sb="5" eb="7">
      <t>レンケイ</t>
    </rPh>
    <phoneticPr fontId="12"/>
  </si>
  <si>
    <t>模試科目構成と</t>
    <rPh sb="0" eb="2">
      <t>モシ</t>
    </rPh>
    <rPh sb="2" eb="4">
      <t>カモク</t>
    </rPh>
    <rPh sb="4" eb="6">
      <t>コウセイ</t>
    </rPh>
    <phoneticPr fontId="12"/>
  </si>
  <si>
    <t>moshiKamokuId</t>
  </si>
  <si>
    <t>模試科目ID</t>
    <rPh sb="0" eb="2">
      <t>モシ</t>
    </rPh>
    <rPh sb="2" eb="4">
      <t>カモク</t>
    </rPh>
    <phoneticPr fontId="12"/>
  </si>
  <si>
    <t>nendo</t>
    <phoneticPr fontId="12"/>
  </si>
  <si>
    <t>模試区分科目構成ID</t>
    <rPh sb="2" eb="4">
      <t>クブン</t>
    </rPh>
    <rPh sb="4" eb="6">
      <t>カモク</t>
    </rPh>
    <rPh sb="6" eb="8">
      <t>コウセイ</t>
    </rPh>
    <phoneticPr fontId="1"/>
  </si>
  <si>
    <t>moshiKbnKamokuKoseiId</t>
    <phoneticPr fontId="12"/>
  </si>
  <si>
    <t>m_moshiKbnKamokuKosei</t>
    <phoneticPr fontId="12"/>
  </si>
  <si>
    <t>(M_MOSI_HAITEN)</t>
    <phoneticPr fontId="12"/>
  </si>
  <si>
    <t>SETUMON_CD</t>
    <phoneticPr fontId="12"/>
  </si>
  <si>
    <t>SETUMON_CD_VIEW</t>
    <phoneticPr fontId="12"/>
  </si>
  <si>
    <t>SETUMON_NAIYO</t>
    <phoneticPr fontId="12"/>
  </si>
  <si>
    <t>模試ID</t>
    <phoneticPr fontId="1"/>
  </si>
  <si>
    <t>moshiId</t>
    <phoneticPr fontId="12"/>
  </si>
  <si>
    <t>moshiKbnKamokuKoseiId</t>
    <phoneticPr fontId="12"/>
  </si>
  <si>
    <t>(M_HKMK)</t>
    <phoneticPr fontId="12"/>
  </si>
  <si>
    <t>HKMK_PRN_S</t>
    <phoneticPr fontId="12"/>
  </si>
  <si>
    <t>HKMK_PRN_M</t>
    <phoneticPr fontId="12"/>
  </si>
  <si>
    <t>HKMK_PRN_L</t>
    <phoneticPr fontId="12"/>
  </si>
  <si>
    <t>m_gakunen</t>
    <phoneticPr fontId="12"/>
  </si>
  <si>
    <t>id</t>
    <phoneticPr fontId="12"/>
  </si>
  <si>
    <t>m_moshiKamoku</t>
    <phoneticPr fontId="12"/>
  </si>
  <si>
    <t>moshiSeisekiId</t>
    <phoneticPr fontId="12"/>
  </si>
  <si>
    <t>模試区分設問構成ID</t>
    <rPh sb="2" eb="4">
      <t>クブン</t>
    </rPh>
    <rPh sb="4" eb="6">
      <t>セツモン</t>
    </rPh>
    <rPh sb="6" eb="8">
      <t>コウセイ</t>
    </rPh>
    <phoneticPr fontId="1"/>
  </si>
  <si>
    <t>moshiKbnSetsuKoseiId</t>
    <phoneticPr fontId="12"/>
  </si>
  <si>
    <t>集計志望校数</t>
    <rPh sb="0" eb="2">
      <t>シュウケイ</t>
    </rPh>
    <rPh sb="2" eb="5">
      <t>シボウコウ</t>
    </rPh>
    <rPh sb="5" eb="6">
      <t>スウ</t>
    </rPh>
    <phoneticPr fontId="12"/>
  </si>
  <si>
    <t>gakunenId</t>
    <phoneticPr fontId="12"/>
  </si>
  <si>
    <t>shukeiShibokoSu</t>
    <phoneticPr fontId="12"/>
  </si>
  <si>
    <t>(M_PREMOSI_HAN_KJUN)</t>
    <phoneticPr fontId="12"/>
  </si>
  <si>
    <t>学校学科ID</t>
    <rPh sb="0" eb="2">
      <t>ガッコウ</t>
    </rPh>
    <rPh sb="2" eb="4">
      <t>ガッカ</t>
    </rPh>
    <phoneticPr fontId="12"/>
  </si>
  <si>
    <t>模試区分科目構成ID</t>
    <phoneticPr fontId="12"/>
  </si>
  <si>
    <t>MoshiKbnKamokuKosei</t>
    <phoneticPr fontId="12"/>
  </si>
  <si>
    <t>moshiKbnKamokuKoseiId</t>
    <phoneticPr fontId="12"/>
  </si>
  <si>
    <t>m_moshiKbnKamokuKosei</t>
    <phoneticPr fontId="12"/>
  </si>
  <si>
    <t>gakkoGakkaId</t>
    <phoneticPr fontId="12"/>
  </si>
  <si>
    <t>m_gakkoGakka</t>
    <phoneticPr fontId="12"/>
  </si>
  <si>
    <t>PreMoshiHanteiKijyun</t>
    <phoneticPr fontId="12"/>
  </si>
  <si>
    <t>プレ模試判定基準</t>
    <rPh sb="2" eb="4">
      <t>モシ</t>
    </rPh>
    <rPh sb="4" eb="6">
      <t>ハンテイ</t>
    </rPh>
    <rPh sb="6" eb="8">
      <t>キジュン</t>
    </rPh>
    <phoneticPr fontId="12"/>
  </si>
  <si>
    <t>男子用基準得点９０</t>
    <rPh sb="0" eb="3">
      <t>ダンシヨウ</t>
    </rPh>
    <rPh sb="3" eb="5">
      <t>キジュン</t>
    </rPh>
    <rPh sb="5" eb="7">
      <t>トクテン</t>
    </rPh>
    <phoneticPr fontId="0"/>
  </si>
  <si>
    <t>男子用基準得点８０</t>
    <rPh sb="3" eb="5">
      <t>キジュン</t>
    </rPh>
    <rPh sb="5" eb="7">
      <t>トクテン</t>
    </rPh>
    <phoneticPr fontId="0"/>
  </si>
  <si>
    <t>男子用基準得点６０</t>
    <rPh sb="3" eb="5">
      <t>キジュン</t>
    </rPh>
    <rPh sb="5" eb="7">
      <t>トクテン</t>
    </rPh>
    <phoneticPr fontId="0"/>
  </si>
  <si>
    <t>男子用基準得点４０</t>
    <rPh sb="3" eb="5">
      <t>キジュン</t>
    </rPh>
    <rPh sb="5" eb="7">
      <t>トクテン</t>
    </rPh>
    <phoneticPr fontId="0"/>
  </si>
  <si>
    <t>男子用基準得点２０</t>
    <rPh sb="3" eb="5">
      <t>キジュン</t>
    </rPh>
    <rPh sb="5" eb="7">
      <t>トクテン</t>
    </rPh>
    <phoneticPr fontId="0"/>
  </si>
  <si>
    <t>男子用基準得点１０</t>
    <rPh sb="3" eb="5">
      <t>キジュン</t>
    </rPh>
    <rPh sb="5" eb="7">
      <t>トクテン</t>
    </rPh>
    <phoneticPr fontId="0"/>
  </si>
  <si>
    <t>女子用基準得点９０</t>
    <rPh sb="0" eb="2">
      <t>ジョシ</t>
    </rPh>
    <rPh sb="2" eb="3">
      <t>ヨウ</t>
    </rPh>
    <rPh sb="3" eb="5">
      <t>キジュン</t>
    </rPh>
    <rPh sb="5" eb="7">
      <t>トクテン</t>
    </rPh>
    <phoneticPr fontId="0"/>
  </si>
  <si>
    <t>女子用基準得点８０</t>
    <rPh sb="3" eb="5">
      <t>キジュン</t>
    </rPh>
    <rPh sb="5" eb="7">
      <t>トクテン</t>
    </rPh>
    <phoneticPr fontId="0"/>
  </si>
  <si>
    <t>女子用基準得点６０</t>
    <rPh sb="3" eb="5">
      <t>キジュン</t>
    </rPh>
    <rPh sb="5" eb="7">
      <t>トクテン</t>
    </rPh>
    <phoneticPr fontId="0"/>
  </si>
  <si>
    <t>女子用基準得点４０</t>
    <rPh sb="3" eb="5">
      <t>キジュン</t>
    </rPh>
    <rPh sb="5" eb="7">
      <t>トクテン</t>
    </rPh>
    <phoneticPr fontId="0"/>
  </si>
  <si>
    <t>女子用基準得点２０</t>
    <rPh sb="3" eb="5">
      <t>キジュン</t>
    </rPh>
    <rPh sb="5" eb="7">
      <t>トクテン</t>
    </rPh>
    <phoneticPr fontId="0"/>
  </si>
  <si>
    <t>女子用基準得点１０</t>
    <rPh sb="3" eb="5">
      <t>キジュン</t>
    </rPh>
    <rPh sb="5" eb="7">
      <t>トクテン</t>
    </rPh>
    <phoneticPr fontId="0"/>
  </si>
  <si>
    <t>tokuten90_m</t>
    <phoneticPr fontId="12"/>
  </si>
  <si>
    <t>tokuten80_m</t>
    <phoneticPr fontId="12"/>
  </si>
  <si>
    <t>tokuten60_m</t>
    <phoneticPr fontId="12"/>
  </si>
  <si>
    <t>tokuten40_m</t>
    <phoneticPr fontId="12"/>
  </si>
  <si>
    <t>tokuten20_m</t>
    <phoneticPr fontId="12"/>
  </si>
  <si>
    <t>tokuten10_m</t>
    <phoneticPr fontId="12"/>
  </si>
  <si>
    <t>tokuten90_f</t>
  </si>
  <si>
    <t>tokuten80_f</t>
  </si>
  <si>
    <t>tokuten60_f</t>
  </si>
  <si>
    <t>tokuten40_f</t>
  </si>
  <si>
    <t>tokuten20_f</t>
  </si>
  <si>
    <t>tokuten10_f</t>
  </si>
  <si>
    <t>模試合格判定基準</t>
    <rPh sb="0" eb="2">
      <t>モシ</t>
    </rPh>
    <rPh sb="2" eb="4">
      <t>ゴウカク</t>
    </rPh>
    <rPh sb="4" eb="6">
      <t>ハンテイ</t>
    </rPh>
    <rPh sb="6" eb="8">
      <t>キジュン</t>
    </rPh>
    <phoneticPr fontId="12"/>
  </si>
  <si>
    <t>(M_GOUKAKU_HAN_KJUN)</t>
    <phoneticPr fontId="12"/>
  </si>
  <si>
    <t>MoshiGoukakuHanteiKijyun</t>
    <phoneticPr fontId="12"/>
  </si>
  <si>
    <t>男子用基準偏差値８０</t>
    <phoneticPr fontId="12"/>
  </si>
  <si>
    <t>hensachi80_m</t>
    <phoneticPr fontId="12"/>
  </si>
  <si>
    <t>hensachi80_f</t>
  </si>
  <si>
    <t>hensachi80_f</t>
    <phoneticPr fontId="12"/>
  </si>
  <si>
    <t>hensachi60_m</t>
    <phoneticPr fontId="12"/>
  </si>
  <si>
    <t>hensachi40_m</t>
    <phoneticPr fontId="12"/>
  </si>
  <si>
    <t>hensachi20_m</t>
    <phoneticPr fontId="12"/>
  </si>
  <si>
    <t>hanteiFlg_m</t>
    <phoneticPr fontId="12"/>
  </si>
  <si>
    <t>hanteiFlg_f</t>
  </si>
  <si>
    <t>hensachi60_f</t>
  </si>
  <si>
    <t>hensachi40_f</t>
  </si>
  <si>
    <t>hensachi20_f</t>
  </si>
  <si>
    <t>naishinten</t>
    <phoneticPr fontId="12"/>
  </si>
  <si>
    <t>hijyuX</t>
    <phoneticPr fontId="12"/>
  </si>
  <si>
    <t>hijyuY</t>
    <phoneticPr fontId="12"/>
  </si>
  <si>
    <t>自校作成模試区分</t>
    <rPh sb="6" eb="8">
      <t>クブン</t>
    </rPh>
    <phoneticPr fontId="12"/>
  </si>
  <si>
    <t>jikouSakuseiKbn</t>
    <phoneticPr fontId="12"/>
  </si>
  <si>
    <t>0:その他 1:自校作成 2:中高一貫</t>
    <rPh sb="4" eb="5">
      <t>タ</t>
    </rPh>
    <rPh sb="8" eb="10">
      <t>ジコウ</t>
    </rPh>
    <rPh sb="10" eb="12">
      <t>サクセイ</t>
    </rPh>
    <rPh sb="15" eb="17">
      <t>チュウコウ</t>
    </rPh>
    <rPh sb="17" eb="19">
      <t>イッカン</t>
    </rPh>
    <phoneticPr fontId="12"/>
  </si>
  <si>
    <t>標準偏差5</t>
    <phoneticPr fontId="12"/>
  </si>
  <si>
    <t>MoshiGoukakuHanteiShubetsu</t>
    <phoneticPr fontId="12"/>
  </si>
  <si>
    <t>模試合格判定種別</t>
    <rPh sb="0" eb="2">
      <t>モシ</t>
    </rPh>
    <rPh sb="2" eb="4">
      <t>ゴウカク</t>
    </rPh>
    <rPh sb="4" eb="6">
      <t>ハンテイ</t>
    </rPh>
    <rPh sb="6" eb="8">
      <t>シュベツ</t>
    </rPh>
    <phoneticPr fontId="12"/>
  </si>
  <si>
    <t>学校学科ID</t>
    <rPh sb="0" eb="2">
      <t>ガッコウ</t>
    </rPh>
    <rPh sb="2" eb="4">
      <t>ガッカ</t>
    </rPh>
    <phoneticPr fontId="4"/>
  </si>
  <si>
    <t>模試科目ID</t>
    <rPh sb="0" eb="2">
      <t>モシ</t>
    </rPh>
    <rPh sb="2" eb="4">
      <t>カモク</t>
    </rPh>
    <phoneticPr fontId="4"/>
  </si>
  <si>
    <t>男子用判定フラグ</t>
    <phoneticPr fontId="4"/>
  </si>
  <si>
    <t>男子用基準偏差値８０</t>
    <phoneticPr fontId="4"/>
  </si>
  <si>
    <t>男子用基準偏差値６０</t>
    <phoneticPr fontId="4"/>
  </si>
  <si>
    <t>男子用基準偏差値４０</t>
    <phoneticPr fontId="4"/>
  </si>
  <si>
    <t>男子用基準偏差値２０</t>
    <phoneticPr fontId="4"/>
  </si>
  <si>
    <t>女子用判定フラグ</t>
    <phoneticPr fontId="4"/>
  </si>
  <si>
    <t>女子用基準偏差値８０</t>
    <phoneticPr fontId="4"/>
  </si>
  <si>
    <t>女子用基準偏差値６０</t>
    <phoneticPr fontId="4"/>
  </si>
  <si>
    <t>女子用基準偏差値４０</t>
    <phoneticPr fontId="4"/>
  </si>
  <si>
    <t>女子用基準偏差値２０</t>
    <phoneticPr fontId="4"/>
  </si>
  <si>
    <t>内申点</t>
    <phoneticPr fontId="4"/>
  </si>
  <si>
    <t>基準比重Ｘ</t>
    <phoneticPr fontId="4"/>
  </si>
  <si>
    <t>基準比重Ｙ</t>
    <phoneticPr fontId="4"/>
  </si>
  <si>
    <t>模試合格判定種別コード</t>
    <phoneticPr fontId="12"/>
  </si>
  <si>
    <t>模試合格判定種別名</t>
    <phoneticPr fontId="12"/>
  </si>
  <si>
    <t>moshiGouHanShubetsuCd</t>
    <phoneticPr fontId="12"/>
  </si>
  <si>
    <t>moshiGouHanShubetsuMei</t>
    <phoneticPr fontId="4"/>
  </si>
  <si>
    <t>moshiGouHanShubetsuId</t>
    <phoneticPr fontId="12"/>
  </si>
  <si>
    <t>模試合格判定種別ID</t>
    <phoneticPr fontId="12"/>
  </si>
  <si>
    <t>id</t>
    <phoneticPr fontId="12"/>
  </si>
  <si>
    <t>m_moshiGoukakuHanteiShubetsu</t>
    <phoneticPr fontId="12"/>
  </si>
  <si>
    <t>模試科目ID</t>
    <rPh sb="0" eb="2">
      <t>モシ</t>
    </rPh>
    <rPh sb="2" eb="4">
      <t>カモク</t>
    </rPh>
    <phoneticPr fontId="12"/>
  </si>
  <si>
    <t>判定科目のみ順位を設定する</t>
    <rPh sb="0" eb="2">
      <t>ハンテイ</t>
    </rPh>
    <rPh sb="2" eb="4">
      <t>カモク</t>
    </rPh>
    <rPh sb="6" eb="8">
      <t>ジュンイ</t>
    </rPh>
    <rPh sb="9" eb="11">
      <t>セッテイ</t>
    </rPh>
    <phoneticPr fontId="12"/>
  </si>
  <si>
    <t>模試設問分野</t>
    <phoneticPr fontId="12"/>
  </si>
  <si>
    <t>(ena_d_cig_bny)</t>
    <phoneticPr fontId="12"/>
  </si>
  <si>
    <t>moshiKbnSetsuKoseiId</t>
  </si>
  <si>
    <t>bunya1Flg</t>
  </si>
  <si>
    <t>bunya2Flg</t>
  </si>
  <si>
    <t>bunya3Flg</t>
  </si>
  <si>
    <t>bunya4Flg</t>
  </si>
  <si>
    <t>bunya5Flg</t>
  </si>
  <si>
    <t>模試区分設問構成ID</t>
    <rPh sb="4" eb="6">
      <t>セツモン</t>
    </rPh>
    <phoneticPr fontId="12"/>
  </si>
  <si>
    <t>分野１フラグ</t>
    <rPh sb="0" eb="2">
      <t>ブンヤ</t>
    </rPh>
    <phoneticPr fontId="12"/>
  </si>
  <si>
    <t>分野２フラグ</t>
    <rPh sb="0" eb="2">
      <t>ブンヤ</t>
    </rPh>
    <phoneticPr fontId="12"/>
  </si>
  <si>
    <t>分野３フラグ</t>
    <rPh sb="0" eb="2">
      <t>ブンヤ</t>
    </rPh>
    <phoneticPr fontId="12"/>
  </si>
  <si>
    <t>分野４フラグ</t>
    <rPh sb="0" eb="2">
      <t>ブンヤ</t>
    </rPh>
    <phoneticPr fontId="12"/>
  </si>
  <si>
    <t>分野５フラグ</t>
    <rPh sb="0" eb="2">
      <t>ブンヤ</t>
    </rPh>
    <phoneticPr fontId="12"/>
  </si>
  <si>
    <t>m_moshiKbnSetsuKosei</t>
    <phoneticPr fontId="12"/>
  </si>
  <si>
    <t>id</t>
    <phoneticPr fontId="12"/>
  </si>
  <si>
    <t>MoshiSetsuBunya</t>
    <phoneticPr fontId="12"/>
  </si>
  <si>
    <t>1:能力 2:適性検査Ⅰ 3:適性検査Ⅱ 4:適性検査Ⅲ</t>
    <rPh sb="2" eb="4">
      <t>ノウリョク</t>
    </rPh>
    <rPh sb="7" eb="9">
      <t>テキセイ</t>
    </rPh>
    <rPh sb="9" eb="11">
      <t>ケンサ</t>
    </rPh>
    <phoneticPr fontId="12"/>
  </si>
  <si>
    <t>模試志望校判定成績</t>
    <rPh sb="0" eb="2">
      <t>モシ</t>
    </rPh>
    <rPh sb="2" eb="4">
      <t>シボウ</t>
    </rPh>
    <rPh sb="4" eb="5">
      <t>コウ</t>
    </rPh>
    <rPh sb="5" eb="7">
      <t>ハンテイ</t>
    </rPh>
    <rPh sb="7" eb="9">
      <t>セイセキ</t>
    </rPh>
    <phoneticPr fontId="12"/>
  </si>
  <si>
    <t>MoshiShibokoHanteiSeiseki</t>
    <phoneticPr fontId="12"/>
  </si>
  <si>
    <t>換算点１</t>
    <rPh sb="0" eb="2">
      <t>カンザン</t>
    </rPh>
    <rPh sb="2" eb="3">
      <t>テン</t>
    </rPh>
    <phoneticPr fontId="12"/>
  </si>
  <si>
    <t>換算点２</t>
    <rPh sb="0" eb="2">
      <t>カンザン</t>
    </rPh>
    <rPh sb="2" eb="3">
      <t>テン</t>
    </rPh>
    <phoneticPr fontId="12"/>
  </si>
  <si>
    <t>順位</t>
    <rPh sb="0" eb="2">
      <t>ジュンイ</t>
    </rPh>
    <phoneticPr fontId="12"/>
  </si>
  <si>
    <t>juni</t>
    <phoneticPr fontId="12"/>
  </si>
  <si>
    <t>knzTen1</t>
    <phoneticPr fontId="12"/>
  </si>
  <si>
    <t>knzTen2</t>
    <phoneticPr fontId="12"/>
  </si>
  <si>
    <t>素点</t>
    <rPh sb="0" eb="2">
      <t>ソテン</t>
    </rPh>
    <phoneticPr fontId="12"/>
  </si>
  <si>
    <t>soten</t>
    <phoneticPr fontId="12"/>
  </si>
  <si>
    <t>点数区分</t>
    <rPh sb="0" eb="2">
      <t>テンスウ</t>
    </rPh>
    <rPh sb="2" eb="4">
      <t>クブン</t>
    </rPh>
    <phoneticPr fontId="12"/>
  </si>
  <si>
    <t>tensuKbn</t>
    <phoneticPr fontId="12"/>
  </si>
  <si>
    <t>1:学力検査 2:報告書 3:総合成績</t>
    <rPh sb="15" eb="17">
      <t>ソウゴウ</t>
    </rPh>
    <rPh sb="17" eb="19">
      <t>セイセキ</t>
    </rPh>
    <phoneticPr fontId="12"/>
  </si>
  <si>
    <t>点数</t>
    <rPh sb="0" eb="2">
      <t>テンスウ</t>
    </rPh>
    <phoneticPr fontId="12"/>
  </si>
  <si>
    <t>ten</t>
    <phoneticPr fontId="12"/>
  </si>
  <si>
    <t>ninsu</t>
    <phoneticPr fontId="12"/>
  </si>
  <si>
    <t>模試志望校判定点数</t>
    <rPh sb="0" eb="2">
      <t>モシ</t>
    </rPh>
    <rPh sb="2" eb="4">
      <t>シボウ</t>
    </rPh>
    <rPh sb="4" eb="5">
      <t>コウ</t>
    </rPh>
    <rPh sb="5" eb="7">
      <t>ハンテイ</t>
    </rPh>
    <rPh sb="7" eb="9">
      <t>テンスウ</t>
    </rPh>
    <phoneticPr fontId="12"/>
  </si>
  <si>
    <t>MoshiShibokoHanteiTensu</t>
    <phoneticPr fontId="12"/>
  </si>
  <si>
    <t>志望校順位</t>
    <rPh sb="0" eb="2">
      <t>シボウ</t>
    </rPh>
    <rPh sb="2" eb="3">
      <t>コウ</t>
    </rPh>
    <rPh sb="3" eb="5">
      <t>ジュンイ</t>
    </rPh>
    <phoneticPr fontId="12"/>
  </si>
  <si>
    <t>shibokoJuni</t>
  </si>
  <si>
    <t>満点</t>
    <rPh sb="0" eb="2">
      <t>マンテン</t>
    </rPh>
    <phoneticPr fontId="12"/>
  </si>
  <si>
    <t>manten</t>
    <phoneticPr fontId="12"/>
  </si>
  <si>
    <t>志望校順位</t>
    <rPh sb="0" eb="2">
      <t>シボウ</t>
    </rPh>
    <rPh sb="2" eb="3">
      <t>コウ</t>
    </rPh>
    <rPh sb="3" eb="5">
      <t>ジュンイ</t>
    </rPh>
    <phoneticPr fontId="12"/>
  </si>
  <si>
    <t>shibokoJuni</t>
    <phoneticPr fontId="12"/>
  </si>
  <si>
    <t>模試合格判定種別ID</t>
    <phoneticPr fontId="12"/>
  </si>
  <si>
    <t>moshiGouHanShubetsuId</t>
    <phoneticPr fontId="12"/>
  </si>
  <si>
    <t>年度</t>
    <phoneticPr fontId="12"/>
  </si>
  <si>
    <t>nendo</t>
    <phoneticPr fontId="12"/>
  </si>
  <si>
    <t>学科コード</t>
    <rPh sb="0" eb="2">
      <t>ガッカ</t>
    </rPh>
    <phoneticPr fontId="12"/>
  </si>
  <si>
    <t>gakkaCd</t>
    <phoneticPr fontId="12"/>
  </si>
  <si>
    <t>classJun</t>
    <phoneticPr fontId="4"/>
  </si>
  <si>
    <t>標準偏差4</t>
    <phoneticPr fontId="1"/>
  </si>
  <si>
    <t>成績表を出力する際のフォーマットを指定する
01:学力判定テスト
02:合格判定テスト
03:プレ模試
04:都立高判定模試
06:適性検査模試
07:都立中合判
08:そっくり模試
09:適性判定模試</t>
    <rPh sb="0" eb="2">
      <t>セイセキ</t>
    </rPh>
    <rPh sb="2" eb="3">
      <t>ヒョウ</t>
    </rPh>
    <rPh sb="4" eb="6">
      <t>シュツリョク</t>
    </rPh>
    <rPh sb="8" eb="9">
      <t>サイ</t>
    </rPh>
    <rPh sb="17" eb="19">
      <t>シテイ</t>
    </rPh>
    <phoneticPr fontId="12"/>
  </si>
  <si>
    <t>学校学科.学科コード</t>
    <rPh sb="0" eb="2">
      <t>ガッコウ</t>
    </rPh>
    <rPh sb="2" eb="4">
      <t>ガッカ</t>
    </rPh>
    <phoneticPr fontId="12"/>
  </si>
  <si>
    <t>C:\java\</t>
    <phoneticPr fontId="4"/>
  </si>
  <si>
    <t>NUMBER</t>
    <phoneticPr fontId="4"/>
  </si>
  <si>
    <t>VARCHAR2</t>
    <phoneticPr fontId="4"/>
  </si>
  <si>
    <t>NVARCHAR2</t>
    <phoneticPr fontId="4"/>
  </si>
  <si>
    <t>インデックス表領域</t>
    <rPh sb="6" eb="7">
      <t>ヒョウ</t>
    </rPh>
    <rPh sb="7" eb="9">
      <t>リョウイキ</t>
    </rPh>
    <phoneticPr fontId="4"/>
  </si>
  <si>
    <t>user01</t>
    <phoneticPr fontId="4"/>
  </si>
  <si>
    <t>index01</t>
    <phoneticPr fontId="4"/>
  </si>
  <si>
    <t>X</t>
    <phoneticPr fontId="4"/>
  </si>
  <si>
    <t>圧縮</t>
    <rPh sb="0" eb="2">
      <t>アッシュク</t>
    </rPh>
    <phoneticPr fontId="4"/>
  </si>
  <si>
    <t>ROW
SCN</t>
    <phoneticPr fontId="4"/>
  </si>
  <si>
    <t>一時表ｺﾐｯﾄ時保持</t>
    <rPh sb="0" eb="2">
      <t>イチジ</t>
    </rPh>
    <rPh sb="2" eb="3">
      <t>ヒョウ</t>
    </rPh>
    <rPh sb="7" eb="8">
      <t>ジ</t>
    </rPh>
    <rPh sb="8" eb="10">
      <t>ホジ</t>
    </rPh>
    <phoneticPr fontId="4"/>
  </si>
  <si>
    <t>テーブル表領域</t>
    <rPh sb="4" eb="5">
      <t>ヒョウ</t>
    </rPh>
    <rPh sb="5" eb="7">
      <t>リョウイキ</t>
    </rPh>
    <phoneticPr fontId="4"/>
  </si>
  <si>
    <t>サブシステムコード</t>
    <phoneticPr fontId="4"/>
  </si>
  <si>
    <t>【親のエンティティを保持】</t>
    <rPh sb="1" eb="2">
      <t>オヤ</t>
    </rPh>
    <rPh sb="10" eb="12">
      <t>ホジ</t>
    </rPh>
    <phoneticPr fontId="4"/>
  </si>
  <si>
    <t>【子のエンティティを保持】</t>
    <rPh sb="1" eb="2">
      <t>コ</t>
    </rPh>
    <rPh sb="10" eb="12">
      <t>ホジ</t>
    </rPh>
    <phoneticPr fontId="4"/>
  </si>
  <si>
    <t>@ManyToOne</t>
    <phoneticPr fontId="4"/>
  </si>
  <si>
    <t>private 親の型 変数名;</t>
    <rPh sb="8" eb="9">
      <t>オヤ</t>
    </rPh>
    <rPh sb="10" eb="11">
      <t>カタ</t>
    </rPh>
    <rPh sb="12" eb="15">
      <t>ヘンスウメイ</t>
    </rPh>
    <phoneticPr fontId="4"/>
  </si>
  <si>
    <t>@Entity</t>
  </si>
  <si>
    <t>public class Project {</t>
  </si>
  <si>
    <t xml:space="preserve">     :</t>
  </si>
  <si>
    <t>}</t>
  </si>
  <si>
    <t>@Embeddable</t>
  </si>
  <si>
    <t>Class ProjectId {</t>
  </si>
  <si>
    <t xml:space="preserve">    int departmentId;</t>
  </si>
  <si>
    <t xml:space="preserve">    long projectId;</t>
  </si>
  <si>
    <t xml:space="preserve"> </t>
  </si>
  <si>
    <t>【複合キーの場合】</t>
    <rPh sb="1" eb="3">
      <t>フクゴウ</t>
    </rPh>
    <rPh sb="6" eb="8">
      <t>バアイ</t>
    </rPh>
    <phoneticPr fontId="4"/>
  </si>
  <si>
    <t>@OneToMany(mappedBy = "子側の項目名")</t>
    <rPh sb="23" eb="24">
      <t>コ</t>
    </rPh>
    <rPh sb="24" eb="25">
      <t>ガワ</t>
    </rPh>
    <rPh sb="26" eb="28">
      <t>コウモク</t>
    </rPh>
    <rPh sb="28" eb="29">
      <t>メイ</t>
    </rPh>
    <phoneticPr fontId="4"/>
  </si>
  <si>
    <t>【共通属性】</t>
    <rPh sb="1" eb="3">
      <t>キョウツウ</t>
    </rPh>
    <rPh sb="3" eb="5">
      <t>ゾクセイ</t>
    </rPh>
    <phoneticPr fontId="4"/>
  </si>
  <si>
    <t>private Set&lt;子の型&gt; 変数名;</t>
    <rPh sb="12" eb="13">
      <t>コ</t>
    </rPh>
    <rPh sb="14" eb="15">
      <t>カタ</t>
    </rPh>
    <rPh sb="17" eb="20">
      <t>ヘンスウメイ</t>
    </rPh>
    <phoneticPr fontId="4"/>
  </si>
  <si>
    <t>cascade</t>
    <phoneticPr fontId="4"/>
  </si>
  <si>
    <t>fetch</t>
    <phoneticPr fontId="4"/>
  </si>
  <si>
    <t>CascadeType.ALL</t>
    <phoneticPr fontId="4"/>
  </si>
  <si>
    <t>FetchType.LAZY</t>
    <phoneticPr fontId="4"/>
  </si>
  <si>
    <t>FetchType.EAGER</t>
    <phoneticPr fontId="4"/>
  </si>
  <si>
    <t>default</t>
    <phoneticPr fontId="4"/>
  </si>
  <si>
    <t>@PrePersist</t>
  </si>
  <si>
    <t>オブジェクトの永続化前に実行する処理を指定</t>
  </si>
  <si>
    <t>@PostPersist</t>
  </si>
  <si>
    <t>オブジェクトの永続化後に実行する処理を指定</t>
  </si>
  <si>
    <t>@PreUpdate</t>
  </si>
  <si>
    <t>オブジェクトの属性が更新前に実行する処理を指定</t>
  </si>
  <si>
    <t>@PostUpdate</t>
  </si>
  <si>
    <t>オブジェクトの属性が更新後に実行する処理を指定</t>
  </si>
  <si>
    <t>@PreRemove</t>
  </si>
  <si>
    <t>オブジェクトの削除前に実行する処理を指定</t>
  </si>
  <si>
    <t>@PostRemove</t>
  </si>
  <si>
    <t>オブジェクトの削除後に実行する処理を指定</t>
  </si>
  <si>
    <t>@PostLoad</t>
  </si>
  <si>
    <t>オブジェクトのデータがデータベースから読み込まれる前に実行する処理を指定</t>
  </si>
  <si>
    <t>@JoinColumn(name="自分の項目名")</t>
    <rPh sb="18" eb="20">
      <t>ジブン</t>
    </rPh>
    <rPh sb="21" eb="23">
      <t>コウモク</t>
    </rPh>
    <rPh sb="23" eb="24">
      <t>メイ</t>
    </rPh>
    <phoneticPr fontId="4"/>
  </si>
  <si>
    <t xml:space="preserve">    @EmbeddedId ProjectId id;</t>
    <phoneticPr fontId="4"/>
  </si>
  <si>
    <t>コード(可変）</t>
    <phoneticPr fontId="4"/>
  </si>
  <si>
    <t>CHAR</t>
    <phoneticPr fontId="4"/>
  </si>
  <si>
    <t>連番</t>
    <rPh sb="0" eb="2">
      <t>レンバン</t>
    </rPh>
    <phoneticPr fontId="4"/>
  </si>
  <si>
    <t>論理
削除</t>
    <rPh sb="3" eb="5">
      <t>サクジョ</t>
    </rPh>
    <phoneticPr fontId="4"/>
  </si>
  <si>
    <t>有効期間</t>
    <phoneticPr fontId="4"/>
  </si>
  <si>
    <t>共通項目</t>
    <rPh sb="0" eb="2">
      <t>キョウツウ</t>
    </rPh>
    <rPh sb="2" eb="4">
      <t>コウモク</t>
    </rPh>
    <phoneticPr fontId="12"/>
  </si>
  <si>
    <t>登録ユーザーID</t>
  </si>
  <si>
    <t>登録日</t>
  </si>
  <si>
    <t>更新ユーザID</t>
  </si>
  <si>
    <t>更新日</t>
  </si>
  <si>
    <t>レコードバージョン番号</t>
  </si>
  <si>
    <t>CREATE_UID</t>
  </si>
  <si>
    <t>CREATE_TS</t>
  </si>
  <si>
    <t>UPDATE_UID</t>
  </si>
  <si>
    <t>UPDATE_TS</t>
  </si>
  <si>
    <t>RECORD_VNO</t>
  </si>
  <si>
    <t>コード(可変)</t>
  </si>
  <si>
    <t>なし</t>
  </si>
  <si>
    <t>全て</t>
  </si>
  <si>
    <t>コード(固定）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</si>
</sst>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14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2"/>
      <name val="中ゴシック体"/>
      <family val="3"/>
      <charset val="128"/>
    </font>
    <font>
      <sz val="10"/>
      <name val="中ゴシック体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10"/>
      <color indexed="13"/>
      <name val="ＭＳ Ｐゴシック"/>
      <family val="3"/>
      <charset val="128"/>
    </font>
    <font>
      <sz val="10"/>
      <color indexed="22"/>
      <name val="ＭＳ Ｐゴシック"/>
      <family val="3"/>
      <charset val="128"/>
    </font>
    <font>
      <sz val="10"/>
      <color indexed="53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10"/>
      <color rgb="FF0000FF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5">
    <xf numFmtId="0" fontId="0" fillId="0" borderId="0"/>
    <xf numFmtId="0" fontId="2" fillId="0" borderId="0"/>
    <xf numFmtId="38" fontId="1" fillId="0" borderId="0" applyFont="0" applyFill="0" applyBorder="0" applyAlignment="0" applyProtection="0"/>
    <xf numFmtId="0" fontId="3" fillId="0" borderId="0"/>
    <xf numFmtId="6" fontId="1" fillId="0" borderId="0" applyFont="0" applyFill="0" applyBorder="0" applyAlignment="0" applyProtection="0">
      <alignment vertical="center"/>
    </xf>
  </cellStyleXfs>
  <cellXfs count="56">
    <xf numFmtId="0" fontId="0" fillId="0" borderId="0" xfId="0"/>
    <xf numFmtId="0" fontId="5" fillId="0" borderId="0" xfId="0" applyFont="1"/>
    <xf numFmtId="0" fontId="5" fillId="0" borderId="1" xfId="0" applyFont="1" applyBorder="1" applyAlignment="1">
      <alignment vertical="center"/>
    </xf>
    <xf numFmtId="0" fontId="5" fillId="0" borderId="1" xfId="0" applyFont="1" applyBorder="1"/>
    <xf numFmtId="0" fontId="5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vertical="center"/>
    </xf>
    <xf numFmtId="0" fontId="5" fillId="0" borderId="3" xfId="0" applyFont="1" applyBorder="1" applyAlignment="1">
      <alignment vertical="center" wrapText="1"/>
    </xf>
    <xf numFmtId="0" fontId="5" fillId="0" borderId="5" xfId="0" applyFont="1" applyBorder="1" applyAlignment="1">
      <alignment vertical="top"/>
    </xf>
    <xf numFmtId="0" fontId="5" fillId="0" borderId="3" xfId="0" applyFont="1" applyBorder="1" applyAlignment="1">
      <alignment vertical="top"/>
    </xf>
    <xf numFmtId="0" fontId="5" fillId="0" borderId="3" xfId="0" applyFont="1" applyBorder="1" applyAlignment="1">
      <alignment horizontal="center" vertical="top"/>
    </xf>
    <xf numFmtId="0" fontId="5" fillId="0" borderId="3" xfId="0" applyFont="1" applyBorder="1" applyAlignment="1">
      <alignment vertical="top" wrapText="1"/>
    </xf>
    <xf numFmtId="0" fontId="5" fillId="0" borderId="5" xfId="0" applyFont="1" applyBorder="1" applyAlignment="1">
      <alignment horizontal="center" vertical="top"/>
    </xf>
    <xf numFmtId="0" fontId="5" fillId="3" borderId="1" xfId="0" applyFont="1" applyFill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0" xfId="0" applyFont="1" applyBorder="1"/>
    <xf numFmtId="0" fontId="5" fillId="0" borderId="9" xfId="0" applyFont="1" applyBorder="1"/>
    <xf numFmtId="0" fontId="5" fillId="0" borderId="10" xfId="0" applyFont="1" applyBorder="1"/>
    <xf numFmtId="38" fontId="5" fillId="0" borderId="3" xfId="2" applyFont="1" applyBorder="1" applyAlignment="1">
      <alignment vertical="center"/>
    </xf>
    <xf numFmtId="0" fontId="7" fillId="5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 wrapText="1"/>
    </xf>
    <xf numFmtId="0" fontId="6" fillId="5" borderId="2" xfId="0" applyFont="1" applyFill="1" applyBorder="1" applyAlignment="1">
      <alignment horizontal="center" wrapText="1"/>
    </xf>
    <xf numFmtId="0" fontId="6" fillId="5" borderId="2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vertical="center"/>
    </xf>
    <xf numFmtId="0" fontId="9" fillId="5" borderId="2" xfId="0" applyFont="1" applyFill="1" applyBorder="1" applyAlignment="1">
      <alignment horizontal="center"/>
    </xf>
    <xf numFmtId="0" fontId="5" fillId="3" borderId="3" xfId="0" applyFont="1" applyFill="1" applyBorder="1"/>
    <xf numFmtId="0" fontId="11" fillId="0" borderId="3" xfId="0" applyFont="1" applyBorder="1" applyAlignment="1">
      <alignment vertical="center"/>
    </xf>
    <xf numFmtId="0" fontId="5" fillId="2" borderId="1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1" fillId="0" borderId="3" xfId="0" applyFont="1" applyBorder="1" applyAlignment="1">
      <alignment horizontal="center" vertical="center"/>
    </xf>
    <xf numFmtId="0" fontId="11" fillId="0" borderId="3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top"/>
    </xf>
    <xf numFmtId="0" fontId="0" fillId="0" borderId="5" xfId="0" applyFont="1" applyFill="1" applyBorder="1" applyAlignment="1">
      <alignment horizontal="center" vertical="top"/>
    </xf>
    <xf numFmtId="0" fontId="13" fillId="0" borderId="3" xfId="0" applyFont="1" applyBorder="1" applyAlignment="1">
      <alignment vertical="center"/>
    </xf>
    <xf numFmtId="0" fontId="13" fillId="0" borderId="5" xfId="0" applyFont="1" applyBorder="1" applyAlignment="1">
      <alignment vertical="top"/>
    </xf>
    <xf numFmtId="0" fontId="5" fillId="0" borderId="5" xfId="0" applyFont="1" applyFill="1" applyBorder="1" applyAlignment="1">
      <alignment horizontal="center" vertical="top"/>
    </xf>
    <xf numFmtId="6" fontId="11" fillId="0" borderId="3" xfId="4" applyFont="1" applyBorder="1" applyAlignment="1">
      <alignment vertical="center"/>
    </xf>
    <xf numFmtId="0" fontId="11" fillId="0" borderId="3" xfId="0" applyFont="1" applyBorder="1" applyAlignment="1">
      <alignment vertical="center" wrapText="1"/>
    </xf>
    <xf numFmtId="21" fontId="5" fillId="0" borderId="3" xfId="0" applyNumberFormat="1" applyFont="1" applyBorder="1" applyAlignment="1">
      <alignment vertical="top" wrapText="1"/>
    </xf>
    <xf numFmtId="0" fontId="5" fillId="0" borderId="4" xfId="0" applyFont="1" applyFill="1" applyBorder="1" applyAlignment="1">
      <alignment horizontal="center" vertical="top"/>
    </xf>
    <xf numFmtId="0" fontId="5" fillId="0" borderId="0" xfId="0" quotePrefix="1" applyFont="1"/>
    <xf numFmtId="38" fontId="5" fillId="4" borderId="6" xfId="2" applyFont="1" applyFill="1" applyBorder="1" applyAlignment="1">
      <alignment horizontal="center"/>
    </xf>
    <xf numFmtId="38" fontId="5" fillId="4" borderId="10" xfId="2" applyFont="1" applyFill="1" applyBorder="1" applyAlignment="1">
      <alignment horizontal="center"/>
    </xf>
    <xf numFmtId="38" fontId="5" fillId="4" borderId="7" xfId="2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</cellXfs>
  <cellStyles count="5">
    <cellStyle name="チャート" xfId="1"/>
    <cellStyle name="桁区切り" xfId="2" builtinId="6"/>
    <cellStyle name="通貨" xfId="4" builtinId="7"/>
    <cellStyle name="標準" xfId="0" builtinId="0"/>
    <cellStyle name="標準10" xfId="3"/>
  </cellStyles>
  <dxfs count="160"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  <dxf>
      <fill>
        <patternFill>
          <bgColor indexed="13"/>
        </patternFill>
      </fill>
    </dxf>
    <dxf>
      <fill>
        <patternFill>
          <bgColor indexed="55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3</xdr:row>
          <xdr:rowOff>66675</xdr:rowOff>
        </xdr:from>
        <xdr:to>
          <xdr:col>7</xdr:col>
          <xdr:colOff>285750</xdr:colOff>
          <xdr:row>5</xdr:row>
          <xdr:rowOff>95250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704850</xdr:colOff>
          <xdr:row>3</xdr:row>
          <xdr:rowOff>66675</xdr:rowOff>
        </xdr:from>
        <xdr:to>
          <xdr:col>11</xdr:col>
          <xdr:colOff>104775</xdr:colOff>
          <xdr:row>5</xdr:row>
          <xdr:rowOff>95250</xdr:rowOff>
        </xdr:to>
        <xdr:sp macro="" textlink="">
          <xdr:nvSpPr>
            <xdr:cNvPr id="23633" name="Button 81" hidden="1">
              <a:extLst>
                <a:ext uri="{63B3BB69-23CF-44E3-9099-C40C66FF867C}">
                  <a14:compatExt spid="_x0000_s23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XML出力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3</xdr:row>
          <xdr:rowOff>76200</xdr:rowOff>
        </xdr:from>
        <xdr:to>
          <xdr:col>9</xdr:col>
          <xdr:colOff>571500</xdr:colOff>
          <xdr:row>5</xdr:row>
          <xdr:rowOff>104775</xdr:rowOff>
        </xdr:to>
        <xdr:sp macro="" textlink="">
          <xdr:nvSpPr>
            <xdr:cNvPr id="23641" name="Button 89" hidden="1">
              <a:extLst>
                <a:ext uri="{63B3BB69-23CF-44E3-9099-C40C66FF867C}">
                  <a14:compatExt spid="_x0000_s23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モデル出力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C256"/>
  <sheetViews>
    <sheetView zoomScale="115" zoomScaleNormal="11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21" sqref="F21"/>
    </sheetView>
  </sheetViews>
  <sheetFormatPr defaultRowHeight="12"/>
  <cols>
    <col min="1" max="1" width="4.625" style="1" customWidth="1"/>
    <col min="2" max="2" width="18.125" style="1" customWidth="1"/>
    <col min="3" max="3" width="4.625" style="1" customWidth="1"/>
    <col min="4" max="4" width="19.375" style="1" customWidth="1"/>
    <col min="5" max="5" width="20.875" style="1" customWidth="1"/>
    <col min="6" max="6" width="50.625" style="1" customWidth="1"/>
    <col min="7" max="7" width="9" style="1"/>
    <col min="8" max="9" width="6.625" style="1" customWidth="1"/>
    <col min="10" max="10" width="4.625" style="1" customWidth="1"/>
    <col min="11" max="11" width="7.625" style="1" customWidth="1"/>
    <col min="12" max="13" width="5.625" style="1" customWidth="1"/>
    <col min="14" max="14" width="11" style="1" customWidth="1"/>
    <col min="15" max="15" width="4.625" style="1" customWidth="1"/>
    <col min="16" max="25" width="3.625" style="1" customWidth="1"/>
    <col min="26" max="27" width="9" style="1"/>
    <col min="28" max="28" width="5.625" style="1" customWidth="1"/>
    <col min="29" max="30" width="9" style="1"/>
    <col min="31" max="31" width="5.625" style="1" customWidth="1"/>
    <col min="32" max="33" width="9" style="1"/>
    <col min="34" max="34" width="5.625" style="1" customWidth="1"/>
    <col min="35" max="36" width="9" style="1"/>
    <col min="37" max="37" width="5.625" style="1" customWidth="1"/>
    <col min="38" max="39" width="9" style="1"/>
    <col min="40" max="40" width="5.625" style="1" customWidth="1"/>
    <col min="41" max="42" width="9" style="1"/>
    <col min="43" max="43" width="5.625" style="1" customWidth="1"/>
    <col min="44" max="45" width="9" style="1"/>
    <col min="46" max="46" width="5.625" style="1" customWidth="1"/>
    <col min="47" max="48" width="9" style="1"/>
    <col min="49" max="49" width="5.625" style="1" customWidth="1"/>
    <col min="50" max="51" width="9" style="1"/>
    <col min="52" max="52" width="5.625" style="1" customWidth="1"/>
    <col min="53" max="54" width="9" style="1"/>
    <col min="55" max="55" width="5.625" style="1" customWidth="1"/>
    <col min="56" max="16384" width="9" style="1"/>
  </cols>
  <sheetData>
    <row r="1" spans="1:55">
      <c r="B1" s="34" t="s">
        <v>151</v>
      </c>
      <c r="P1" s="53" t="s">
        <v>10</v>
      </c>
      <c r="Q1" s="54"/>
      <c r="R1" s="54"/>
      <c r="S1" s="54"/>
      <c r="T1" s="54"/>
      <c r="U1" s="54"/>
      <c r="V1" s="54"/>
      <c r="W1" s="54"/>
      <c r="X1" s="54"/>
      <c r="Y1" s="55"/>
      <c r="Z1" s="50" t="s">
        <v>24</v>
      </c>
      <c r="AA1" s="51"/>
      <c r="AB1" s="52"/>
      <c r="AC1" s="50" t="s">
        <v>25</v>
      </c>
      <c r="AD1" s="51"/>
      <c r="AE1" s="52"/>
      <c r="AF1" s="50" t="s">
        <v>26</v>
      </c>
      <c r="AG1" s="51"/>
      <c r="AH1" s="52"/>
      <c r="AI1" s="50" t="s">
        <v>27</v>
      </c>
      <c r="AJ1" s="51"/>
      <c r="AK1" s="52"/>
      <c r="AL1" s="47" t="s">
        <v>28</v>
      </c>
      <c r="AM1" s="48"/>
      <c r="AN1" s="49"/>
      <c r="AO1" s="50" t="s">
        <v>29</v>
      </c>
      <c r="AP1" s="51"/>
      <c r="AQ1" s="52"/>
      <c r="AR1" s="50" t="s">
        <v>30</v>
      </c>
      <c r="AS1" s="51"/>
      <c r="AT1" s="52"/>
      <c r="AU1" s="50" t="s">
        <v>31</v>
      </c>
      <c r="AV1" s="51"/>
      <c r="AW1" s="52"/>
      <c r="AX1" s="50" t="s">
        <v>32</v>
      </c>
      <c r="AY1" s="51"/>
      <c r="AZ1" s="52"/>
      <c r="BA1" s="50" t="s">
        <v>33</v>
      </c>
      <c r="BB1" s="51"/>
      <c r="BC1" s="52"/>
    </row>
    <row r="2" spans="1:55" ht="12.75" thickBot="1">
      <c r="A2" s="4" t="s">
        <v>2</v>
      </c>
      <c r="B2" s="33" t="s">
        <v>152</v>
      </c>
      <c r="C2" s="4" t="s">
        <v>5</v>
      </c>
      <c r="D2" s="4" t="s">
        <v>59</v>
      </c>
      <c r="E2" s="4" t="s">
        <v>60</v>
      </c>
      <c r="F2" s="4" t="s">
        <v>4</v>
      </c>
      <c r="G2" s="4" t="s">
        <v>6</v>
      </c>
      <c r="H2" s="4" t="s">
        <v>7</v>
      </c>
      <c r="I2" s="4" t="s">
        <v>46</v>
      </c>
      <c r="J2" s="4" t="s">
        <v>8</v>
      </c>
      <c r="K2" s="4" t="s">
        <v>45</v>
      </c>
      <c r="L2" s="4" t="s">
        <v>9</v>
      </c>
      <c r="M2" s="4" t="s">
        <v>23</v>
      </c>
      <c r="N2" s="4" t="s">
        <v>22</v>
      </c>
      <c r="O2" s="4" t="s">
        <v>21</v>
      </c>
      <c r="P2" s="5" t="s">
        <v>11</v>
      </c>
      <c r="Q2" s="5" t="s">
        <v>12</v>
      </c>
      <c r="R2" s="5" t="s">
        <v>13</v>
      </c>
      <c r="S2" s="5" t="s">
        <v>14</v>
      </c>
      <c r="T2" s="5" t="s">
        <v>15</v>
      </c>
      <c r="U2" s="5" t="s">
        <v>16</v>
      </c>
      <c r="V2" s="5" t="s">
        <v>17</v>
      </c>
      <c r="W2" s="5" t="s">
        <v>18</v>
      </c>
      <c r="X2" s="5" t="s">
        <v>19</v>
      </c>
      <c r="Y2" s="5" t="s">
        <v>20</v>
      </c>
      <c r="Z2" s="6" t="s">
        <v>1</v>
      </c>
      <c r="AA2" s="6" t="s">
        <v>3</v>
      </c>
      <c r="AB2" s="6" t="s">
        <v>225</v>
      </c>
      <c r="AC2" s="6" t="s">
        <v>1</v>
      </c>
      <c r="AD2" s="6" t="s">
        <v>3</v>
      </c>
      <c r="AE2" s="6" t="s">
        <v>225</v>
      </c>
      <c r="AF2" s="6" t="s">
        <v>1</v>
      </c>
      <c r="AG2" s="6" t="s">
        <v>3</v>
      </c>
      <c r="AH2" s="6" t="s">
        <v>225</v>
      </c>
      <c r="AI2" s="6" t="s">
        <v>1</v>
      </c>
      <c r="AJ2" s="6" t="s">
        <v>3</v>
      </c>
      <c r="AK2" s="6" t="s">
        <v>225</v>
      </c>
      <c r="AL2" s="6" t="s">
        <v>1</v>
      </c>
      <c r="AM2" s="6" t="s">
        <v>3</v>
      </c>
      <c r="AN2" s="6" t="s">
        <v>225</v>
      </c>
      <c r="AO2" s="6" t="s">
        <v>1</v>
      </c>
      <c r="AP2" s="6" t="s">
        <v>3</v>
      </c>
      <c r="AQ2" s="6" t="s">
        <v>225</v>
      </c>
      <c r="AR2" s="6" t="s">
        <v>1</v>
      </c>
      <c r="AS2" s="6" t="s">
        <v>3</v>
      </c>
      <c r="AT2" s="6" t="s">
        <v>225</v>
      </c>
      <c r="AU2" s="6" t="s">
        <v>1</v>
      </c>
      <c r="AV2" s="6" t="s">
        <v>3</v>
      </c>
      <c r="AW2" s="6" t="s">
        <v>225</v>
      </c>
      <c r="AX2" s="6" t="s">
        <v>1</v>
      </c>
      <c r="AY2" s="6" t="s">
        <v>3</v>
      </c>
      <c r="AZ2" s="6" t="s">
        <v>225</v>
      </c>
      <c r="BA2" s="6" t="s">
        <v>1</v>
      </c>
      <c r="BB2" s="6" t="s">
        <v>3</v>
      </c>
      <c r="BC2" s="6" t="s">
        <v>225</v>
      </c>
    </row>
    <row r="3" spans="1:55" ht="12.75" thickTop="1">
      <c r="A3" s="45">
        <v>0</v>
      </c>
      <c r="B3" s="10" t="s">
        <v>618</v>
      </c>
      <c r="C3" s="7">
        <v>1</v>
      </c>
      <c r="D3" s="9" t="s">
        <v>619</v>
      </c>
      <c r="E3" s="9" t="s">
        <v>624</v>
      </c>
      <c r="F3" s="13"/>
      <c r="G3" s="8" t="s">
        <v>629</v>
      </c>
      <c r="H3" s="7">
        <v>10</v>
      </c>
      <c r="I3" s="7"/>
      <c r="J3" s="7" t="s">
        <v>0</v>
      </c>
      <c r="K3" s="8"/>
      <c r="L3" s="7"/>
      <c r="M3" s="7"/>
      <c r="N3" s="8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8"/>
      <c r="AA3" s="8"/>
      <c r="AB3" s="7"/>
      <c r="AC3" s="8"/>
      <c r="AD3" s="8"/>
      <c r="AE3" s="7"/>
      <c r="AF3" s="8"/>
      <c r="AG3" s="8"/>
      <c r="AH3" s="7"/>
      <c r="AI3" s="8"/>
      <c r="AJ3" s="8"/>
      <c r="AK3" s="7"/>
      <c r="AL3" s="8"/>
      <c r="AM3" s="8"/>
      <c r="AN3" s="7"/>
      <c r="AO3" s="8"/>
      <c r="AP3" s="8"/>
      <c r="AQ3" s="7"/>
      <c r="AR3" s="8"/>
      <c r="AS3" s="8"/>
      <c r="AT3" s="7"/>
      <c r="AU3" s="8"/>
      <c r="AV3" s="8"/>
      <c r="AW3" s="7"/>
      <c r="AX3" s="8"/>
      <c r="AY3" s="8"/>
      <c r="AZ3" s="7"/>
      <c r="BA3" s="8"/>
      <c r="BB3" s="8"/>
      <c r="BC3" s="7"/>
    </row>
    <row r="4" spans="1:55">
      <c r="A4" s="14"/>
      <c r="B4" s="10"/>
      <c r="C4" s="7">
        <f>C3+1</f>
        <v>2</v>
      </c>
      <c r="D4" s="9" t="s">
        <v>620</v>
      </c>
      <c r="E4" s="9" t="s">
        <v>625</v>
      </c>
      <c r="F4" s="13"/>
      <c r="G4" s="8" t="s">
        <v>51</v>
      </c>
      <c r="H4" s="7"/>
      <c r="I4" s="7"/>
      <c r="J4" s="7" t="s">
        <v>0</v>
      </c>
      <c r="K4" s="8"/>
      <c r="L4" s="7"/>
      <c r="M4" s="7"/>
      <c r="N4" s="8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8"/>
      <c r="AA4" s="8"/>
      <c r="AB4" s="7"/>
      <c r="AC4" s="8"/>
      <c r="AD4" s="8"/>
      <c r="AE4" s="7"/>
      <c r="AF4" s="8"/>
      <c r="AG4" s="8"/>
      <c r="AH4" s="7"/>
      <c r="AI4" s="8"/>
      <c r="AJ4" s="8"/>
      <c r="AK4" s="7"/>
      <c r="AL4" s="8"/>
      <c r="AM4" s="8"/>
      <c r="AN4" s="7"/>
      <c r="AO4" s="8"/>
      <c r="AP4" s="8"/>
      <c r="AQ4" s="7"/>
      <c r="AR4" s="8"/>
      <c r="AS4" s="8"/>
      <c r="AT4" s="7"/>
      <c r="AU4" s="8"/>
      <c r="AV4" s="8"/>
      <c r="AW4" s="7"/>
      <c r="AX4" s="8"/>
      <c r="AY4" s="8"/>
      <c r="AZ4" s="7"/>
      <c r="BA4" s="8"/>
      <c r="BB4" s="8"/>
      <c r="BC4" s="7"/>
    </row>
    <row r="5" spans="1:55">
      <c r="A5" s="14"/>
      <c r="B5" s="10"/>
      <c r="C5" s="7">
        <f>C4+1</f>
        <v>3</v>
      </c>
      <c r="D5" s="8" t="s">
        <v>621</v>
      </c>
      <c r="E5" s="8" t="s">
        <v>626</v>
      </c>
      <c r="F5" s="13"/>
      <c r="G5" s="8" t="s">
        <v>629</v>
      </c>
      <c r="H5" s="7">
        <v>10</v>
      </c>
      <c r="I5" s="7"/>
      <c r="J5" s="7" t="s">
        <v>0</v>
      </c>
      <c r="K5" s="8"/>
      <c r="L5" s="7"/>
      <c r="M5" s="7"/>
      <c r="N5" s="8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8"/>
      <c r="AA5" s="8"/>
      <c r="AB5" s="7"/>
      <c r="AC5" s="8"/>
      <c r="AD5" s="8"/>
      <c r="AE5" s="7"/>
      <c r="AF5" s="8"/>
      <c r="AG5" s="8"/>
      <c r="AH5" s="7"/>
      <c r="AI5" s="8"/>
      <c r="AJ5" s="8"/>
      <c r="AK5" s="7"/>
      <c r="AL5" s="8"/>
      <c r="AM5" s="8"/>
      <c r="AN5" s="7"/>
      <c r="AO5" s="8"/>
      <c r="AP5" s="8"/>
      <c r="AQ5" s="7"/>
      <c r="AR5" s="8"/>
      <c r="AS5" s="8"/>
      <c r="AT5" s="7"/>
      <c r="AU5" s="8"/>
      <c r="AV5" s="8"/>
      <c r="AW5" s="7"/>
      <c r="AX5" s="8"/>
      <c r="AY5" s="8"/>
      <c r="AZ5" s="7"/>
      <c r="BA5" s="8"/>
      <c r="BB5" s="8"/>
      <c r="BC5" s="7"/>
    </row>
    <row r="6" spans="1:55">
      <c r="A6" s="14"/>
      <c r="B6" s="10"/>
      <c r="C6" s="7">
        <f>C5+1</f>
        <v>4</v>
      </c>
      <c r="D6" s="8" t="s">
        <v>622</v>
      </c>
      <c r="E6" s="8" t="s">
        <v>627</v>
      </c>
      <c r="F6" s="13"/>
      <c r="G6" s="8" t="s">
        <v>51</v>
      </c>
      <c r="H6" s="7"/>
      <c r="I6" s="7"/>
      <c r="J6" s="7" t="s">
        <v>0</v>
      </c>
      <c r="K6" s="8"/>
      <c r="L6" s="7"/>
      <c r="M6" s="7"/>
      <c r="N6" s="8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8"/>
      <c r="AA6" s="8"/>
      <c r="AB6" s="7"/>
      <c r="AC6" s="8"/>
      <c r="AD6" s="8"/>
      <c r="AE6" s="7"/>
      <c r="AF6" s="8"/>
      <c r="AG6" s="8"/>
      <c r="AH6" s="7"/>
      <c r="AI6" s="8"/>
      <c r="AJ6" s="8"/>
      <c r="AK6" s="7"/>
      <c r="AL6" s="8"/>
      <c r="AM6" s="8"/>
      <c r="AN6" s="7"/>
      <c r="AO6" s="8"/>
      <c r="AP6" s="8"/>
      <c r="AQ6" s="7"/>
      <c r="AR6" s="8"/>
      <c r="AS6" s="8"/>
      <c r="AT6" s="7"/>
      <c r="AU6" s="8"/>
      <c r="AV6" s="8"/>
      <c r="AW6" s="7"/>
      <c r="AX6" s="8"/>
      <c r="AY6" s="8"/>
      <c r="AZ6" s="7"/>
      <c r="BA6" s="8"/>
      <c r="BB6" s="8"/>
      <c r="BC6" s="7"/>
    </row>
    <row r="7" spans="1:55">
      <c r="A7" s="14"/>
      <c r="B7" s="10"/>
      <c r="C7" s="7">
        <f>C6+1</f>
        <v>5</v>
      </c>
      <c r="D7" s="8" t="s">
        <v>623</v>
      </c>
      <c r="E7" s="8" t="s">
        <v>628</v>
      </c>
      <c r="F7" s="13"/>
      <c r="G7" s="8" t="s">
        <v>56</v>
      </c>
      <c r="H7" s="7">
        <v>18</v>
      </c>
      <c r="I7" s="7"/>
      <c r="J7" s="7" t="s">
        <v>0</v>
      </c>
      <c r="K7" s="8">
        <v>0</v>
      </c>
      <c r="L7" s="7"/>
      <c r="M7" s="7"/>
      <c r="N7" s="8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8"/>
      <c r="AA7" s="8"/>
      <c r="AB7" s="7"/>
      <c r="AC7" s="8"/>
      <c r="AD7" s="8"/>
      <c r="AE7" s="7"/>
      <c r="AF7" s="8"/>
      <c r="AG7" s="8"/>
      <c r="AH7" s="7"/>
      <c r="AI7" s="8"/>
      <c r="AJ7" s="8"/>
      <c r="AK7" s="7"/>
      <c r="AL7" s="8"/>
      <c r="AM7" s="8"/>
      <c r="AN7" s="7"/>
      <c r="AO7" s="8"/>
      <c r="AP7" s="8"/>
      <c r="AQ7" s="7"/>
      <c r="AR7" s="8"/>
      <c r="AS7" s="8"/>
      <c r="AT7" s="7"/>
      <c r="AU7" s="8"/>
      <c r="AV7" s="8"/>
      <c r="AW7" s="7"/>
      <c r="AX7" s="8"/>
      <c r="AY7" s="8"/>
      <c r="AZ7" s="7"/>
      <c r="BA7" s="8"/>
      <c r="BB7" s="8"/>
      <c r="BC7" s="7"/>
    </row>
    <row r="8" spans="1:55">
      <c r="A8" s="41">
        <v>1</v>
      </c>
      <c r="B8" s="10" t="s">
        <v>69</v>
      </c>
      <c r="C8" s="7">
        <v>1</v>
      </c>
      <c r="D8" s="9" t="s">
        <v>55</v>
      </c>
      <c r="E8" s="9" t="s">
        <v>62</v>
      </c>
      <c r="F8" s="13"/>
      <c r="G8" s="8" t="s">
        <v>61</v>
      </c>
      <c r="H8" s="7"/>
      <c r="I8" s="7"/>
      <c r="J8" s="7" t="s">
        <v>0</v>
      </c>
      <c r="K8" s="8"/>
      <c r="L8" s="7">
        <v>1</v>
      </c>
      <c r="M8" s="7"/>
      <c r="N8" s="8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8"/>
      <c r="AB8" s="7"/>
      <c r="AC8" s="8"/>
      <c r="AD8" s="8"/>
      <c r="AE8" s="7"/>
      <c r="AF8" s="8"/>
      <c r="AG8" s="8"/>
      <c r="AH8" s="7"/>
      <c r="AI8" s="8"/>
      <c r="AJ8" s="8"/>
      <c r="AK8" s="7"/>
      <c r="AL8" s="8"/>
      <c r="AM8" s="8"/>
      <c r="AN8" s="7"/>
      <c r="AO8" s="8"/>
      <c r="AP8" s="8"/>
      <c r="AQ8" s="7"/>
      <c r="AR8" s="8"/>
      <c r="AS8" s="8"/>
      <c r="AT8" s="7"/>
      <c r="AU8" s="8"/>
      <c r="AV8" s="8"/>
      <c r="AW8" s="7"/>
      <c r="AX8" s="8"/>
      <c r="AY8" s="8"/>
      <c r="AZ8" s="7"/>
      <c r="BA8" s="8"/>
      <c r="BB8" s="8"/>
      <c r="BC8" s="7"/>
    </row>
    <row r="9" spans="1:55">
      <c r="A9" s="14"/>
      <c r="B9" s="10" t="s">
        <v>70</v>
      </c>
      <c r="C9" s="7">
        <f>C8+1</f>
        <v>2</v>
      </c>
      <c r="D9" s="9" t="s">
        <v>71</v>
      </c>
      <c r="E9" s="9" t="s">
        <v>64</v>
      </c>
      <c r="F9" s="13"/>
      <c r="G9" s="8" t="s">
        <v>48</v>
      </c>
      <c r="H9" s="7">
        <v>20</v>
      </c>
      <c r="I9" s="7"/>
      <c r="J9" s="7" t="s">
        <v>0</v>
      </c>
      <c r="K9" s="8"/>
      <c r="L9" s="7"/>
      <c r="M9" s="7">
        <v>1</v>
      </c>
      <c r="N9" s="8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8"/>
      <c r="AA9" s="8"/>
      <c r="AB9" s="7"/>
      <c r="AC9" s="8"/>
      <c r="AD9" s="8"/>
      <c r="AE9" s="7"/>
      <c r="AF9" s="8"/>
      <c r="AG9" s="8"/>
      <c r="AH9" s="7"/>
      <c r="AI9" s="8"/>
      <c r="AJ9" s="8"/>
      <c r="AK9" s="7"/>
      <c r="AL9" s="8"/>
      <c r="AM9" s="8"/>
      <c r="AN9" s="7"/>
      <c r="AO9" s="8"/>
      <c r="AP9" s="8"/>
      <c r="AQ9" s="7"/>
      <c r="AR9" s="8"/>
      <c r="AS9" s="8"/>
      <c r="AT9" s="7"/>
      <c r="AU9" s="8"/>
      <c r="AV9" s="8"/>
      <c r="AW9" s="7"/>
      <c r="AX9" s="8"/>
      <c r="AY9" s="8"/>
      <c r="AZ9" s="7"/>
      <c r="BA9" s="8"/>
      <c r="BB9" s="8"/>
      <c r="BC9" s="7"/>
    </row>
    <row r="10" spans="1:55">
      <c r="A10" s="14"/>
      <c r="B10" s="10"/>
      <c r="C10" s="7">
        <f>C9+1</f>
        <v>3</v>
      </c>
      <c r="D10" s="8" t="s">
        <v>75</v>
      </c>
      <c r="E10" s="8" t="s">
        <v>68</v>
      </c>
      <c r="F10" s="13"/>
      <c r="G10" s="8" t="s">
        <v>51</v>
      </c>
      <c r="H10" s="7">
        <v>3</v>
      </c>
      <c r="I10" s="7"/>
      <c r="J10" s="7" t="s">
        <v>0</v>
      </c>
      <c r="K10" s="8"/>
      <c r="L10" s="7"/>
      <c r="M10" s="7">
        <v>2</v>
      </c>
      <c r="N10" s="8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8"/>
      <c r="AA10" s="8"/>
      <c r="AB10" s="7"/>
      <c r="AC10" s="8"/>
      <c r="AD10" s="8"/>
      <c r="AE10" s="7"/>
      <c r="AF10" s="8"/>
      <c r="AG10" s="8"/>
      <c r="AH10" s="7"/>
      <c r="AI10" s="8"/>
      <c r="AJ10" s="8"/>
      <c r="AK10" s="7"/>
      <c r="AL10" s="8"/>
      <c r="AM10" s="8"/>
      <c r="AN10" s="7"/>
      <c r="AO10" s="8"/>
      <c r="AP10" s="8"/>
      <c r="AQ10" s="7"/>
      <c r="AR10" s="8"/>
      <c r="AS10" s="8"/>
      <c r="AT10" s="7"/>
      <c r="AU10" s="8"/>
      <c r="AV10" s="8"/>
      <c r="AW10" s="7"/>
      <c r="AX10" s="8"/>
      <c r="AY10" s="8"/>
      <c r="AZ10" s="7"/>
      <c r="BA10" s="8"/>
      <c r="BB10" s="8"/>
      <c r="BC10" s="7"/>
    </row>
    <row r="11" spans="1:55">
      <c r="A11" s="14"/>
      <c r="B11" s="10"/>
      <c r="C11" s="7">
        <f>C10+1</f>
        <v>4</v>
      </c>
      <c r="D11" s="8" t="s">
        <v>72</v>
      </c>
      <c r="E11" s="8" t="s">
        <v>65</v>
      </c>
      <c r="F11" s="13"/>
      <c r="G11" s="8" t="s">
        <v>48</v>
      </c>
      <c r="H11" s="7">
        <v>256</v>
      </c>
      <c r="I11" s="7"/>
      <c r="J11" s="7"/>
      <c r="K11" s="8"/>
      <c r="L11" s="7"/>
      <c r="M11" s="7"/>
      <c r="N11" s="8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8"/>
      <c r="AA11" s="8"/>
      <c r="AB11" s="7"/>
      <c r="AC11" s="8"/>
      <c r="AD11" s="8"/>
      <c r="AE11" s="7"/>
      <c r="AF11" s="8"/>
      <c r="AG11" s="8"/>
      <c r="AH11" s="7"/>
      <c r="AI11" s="8"/>
      <c r="AJ11" s="8"/>
      <c r="AK11" s="7"/>
      <c r="AL11" s="8"/>
      <c r="AM11" s="8"/>
      <c r="AN11" s="7"/>
      <c r="AO11" s="8"/>
      <c r="AP11" s="8"/>
      <c r="AQ11" s="7"/>
      <c r="AR11" s="8"/>
      <c r="AS11" s="8"/>
      <c r="AT11" s="7"/>
      <c r="AU11" s="8"/>
      <c r="AV11" s="8"/>
      <c r="AW11" s="7"/>
      <c r="AX11" s="8"/>
      <c r="AY11" s="8"/>
      <c r="AZ11" s="7"/>
      <c r="BA11" s="8"/>
      <c r="BB11" s="8"/>
      <c r="BC11" s="7"/>
    </row>
    <row r="12" spans="1:55" ht="72">
      <c r="A12" s="14"/>
      <c r="B12" s="10"/>
      <c r="C12" s="7">
        <f>C11+1</f>
        <v>5</v>
      </c>
      <c r="D12" s="8" t="s">
        <v>73</v>
      </c>
      <c r="E12" s="8" t="s">
        <v>66</v>
      </c>
      <c r="F12" s="13" t="s">
        <v>76</v>
      </c>
      <c r="G12" s="8" t="s">
        <v>56</v>
      </c>
      <c r="H12" s="7"/>
      <c r="I12" s="7"/>
      <c r="J12" s="7" t="s">
        <v>0</v>
      </c>
      <c r="K12" s="8"/>
      <c r="L12" s="7"/>
      <c r="M12" s="7"/>
      <c r="N12" s="8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8"/>
      <c r="AA12" s="8"/>
      <c r="AB12" s="7"/>
      <c r="AC12" s="8"/>
      <c r="AD12" s="8"/>
      <c r="AE12" s="7"/>
      <c r="AF12" s="8"/>
      <c r="AG12" s="8"/>
      <c r="AH12" s="7"/>
      <c r="AI12" s="8"/>
      <c r="AJ12" s="8"/>
      <c r="AK12" s="7"/>
      <c r="AL12" s="8"/>
      <c r="AM12" s="8"/>
      <c r="AN12" s="7"/>
      <c r="AO12" s="8"/>
      <c r="AP12" s="8"/>
      <c r="AQ12" s="7"/>
      <c r="AR12" s="8"/>
      <c r="AS12" s="8"/>
      <c r="AT12" s="7"/>
      <c r="AU12" s="8"/>
      <c r="AV12" s="8"/>
      <c r="AW12" s="7"/>
      <c r="AX12" s="8"/>
      <c r="AY12" s="8"/>
      <c r="AZ12" s="7"/>
      <c r="BA12" s="8"/>
      <c r="BB12" s="8"/>
      <c r="BC12" s="7"/>
    </row>
    <row r="13" spans="1:55">
      <c r="A13" s="14"/>
      <c r="B13" s="10"/>
      <c r="C13" s="7">
        <f>C12+1</f>
        <v>6</v>
      </c>
      <c r="D13" s="8" t="s">
        <v>74</v>
      </c>
      <c r="E13" s="8" t="s">
        <v>67</v>
      </c>
      <c r="F13" s="13"/>
      <c r="G13" s="8" t="s">
        <v>48</v>
      </c>
      <c r="H13" s="7">
        <v>200</v>
      </c>
      <c r="I13" s="7"/>
      <c r="J13" s="7"/>
      <c r="K13" s="8"/>
      <c r="L13" s="7"/>
      <c r="M13" s="7"/>
      <c r="N13" s="8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8"/>
      <c r="AA13" s="8"/>
      <c r="AB13" s="7"/>
      <c r="AC13" s="8"/>
      <c r="AD13" s="8"/>
      <c r="AE13" s="7"/>
      <c r="AF13" s="8"/>
      <c r="AG13" s="8"/>
      <c r="AH13" s="7"/>
      <c r="AI13" s="8"/>
      <c r="AJ13" s="8"/>
      <c r="AK13" s="7"/>
      <c r="AL13" s="8"/>
      <c r="AM13" s="8"/>
      <c r="AN13" s="7"/>
      <c r="AO13" s="8"/>
      <c r="AP13" s="8"/>
      <c r="AQ13" s="7"/>
      <c r="AR13" s="8"/>
      <c r="AS13" s="8"/>
      <c r="AT13" s="7"/>
      <c r="AU13" s="8"/>
      <c r="AV13" s="8"/>
      <c r="AW13" s="7"/>
      <c r="AX13" s="8"/>
      <c r="AY13" s="8"/>
      <c r="AZ13" s="7"/>
      <c r="BA13" s="8"/>
      <c r="BB13" s="8"/>
      <c r="BC13" s="7"/>
    </row>
    <row r="14" spans="1:55">
      <c r="A14" s="14">
        <v>2</v>
      </c>
      <c r="B14" s="10" t="s">
        <v>80</v>
      </c>
      <c r="C14" s="7">
        <v>1</v>
      </c>
      <c r="D14" s="8" t="s">
        <v>78</v>
      </c>
      <c r="E14" s="9" t="s">
        <v>79</v>
      </c>
      <c r="F14" s="13"/>
      <c r="G14" s="8" t="s">
        <v>61</v>
      </c>
      <c r="H14" s="7"/>
      <c r="I14" s="7"/>
      <c r="J14" s="7" t="s">
        <v>0</v>
      </c>
      <c r="K14" s="8"/>
      <c r="L14" s="7">
        <v>1</v>
      </c>
      <c r="M14" s="7"/>
      <c r="N14" s="8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8"/>
      <c r="AA14" s="8"/>
      <c r="AB14" s="7"/>
      <c r="AC14" s="8"/>
      <c r="AD14" s="8"/>
      <c r="AE14" s="7"/>
      <c r="AF14" s="8"/>
      <c r="AG14" s="8"/>
      <c r="AH14" s="7"/>
      <c r="AI14" s="8"/>
      <c r="AJ14" s="8"/>
      <c r="AK14" s="7"/>
      <c r="AL14" s="8"/>
      <c r="AM14" s="8"/>
      <c r="AN14" s="7"/>
      <c r="AO14" s="8"/>
      <c r="AP14" s="8"/>
      <c r="AQ14" s="7"/>
      <c r="AR14" s="8"/>
      <c r="AS14" s="8"/>
      <c r="AT14" s="7"/>
      <c r="AU14" s="8"/>
      <c r="AV14" s="8"/>
      <c r="AW14" s="7"/>
      <c r="AX14" s="8"/>
      <c r="AY14" s="8"/>
      <c r="AZ14" s="7"/>
      <c r="BA14" s="8"/>
      <c r="BB14" s="8"/>
      <c r="BC14" s="7"/>
    </row>
    <row r="15" spans="1:55">
      <c r="A15" s="14"/>
      <c r="B15" s="10" t="s">
        <v>86</v>
      </c>
      <c r="C15" s="7">
        <f t="shared" ref="C15:C22" si="0">C14+1</f>
        <v>2</v>
      </c>
      <c r="D15" s="32" t="s">
        <v>410</v>
      </c>
      <c r="E15" s="8" t="s">
        <v>411</v>
      </c>
      <c r="F15" s="13"/>
      <c r="G15" s="8" t="s">
        <v>63</v>
      </c>
      <c r="H15" s="7"/>
      <c r="I15" s="7"/>
      <c r="J15" s="7" t="s">
        <v>0</v>
      </c>
      <c r="K15" s="8"/>
      <c r="L15" s="7"/>
      <c r="M15" s="7">
        <v>1</v>
      </c>
      <c r="N15" s="8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8"/>
      <c r="AA15" s="8"/>
      <c r="AB15" s="7"/>
      <c r="AC15" s="8"/>
      <c r="AD15" s="8"/>
      <c r="AE15" s="7"/>
      <c r="AF15" s="8"/>
      <c r="AG15" s="8"/>
      <c r="AH15" s="7"/>
      <c r="AI15" s="8"/>
      <c r="AJ15" s="8"/>
      <c r="AK15" s="7"/>
      <c r="AL15" s="8"/>
      <c r="AM15" s="8"/>
      <c r="AN15" s="7"/>
      <c r="AO15" s="8"/>
      <c r="AP15" s="8"/>
      <c r="AQ15" s="7"/>
      <c r="AR15" s="8"/>
      <c r="AS15" s="8"/>
      <c r="AT15" s="7"/>
      <c r="AU15" s="8"/>
      <c r="AV15" s="8"/>
      <c r="AW15" s="7"/>
      <c r="AX15" s="8"/>
      <c r="AY15" s="8"/>
      <c r="AZ15" s="7"/>
      <c r="BA15" s="8"/>
      <c r="BB15" s="8"/>
      <c r="BC15" s="7"/>
    </row>
    <row r="16" spans="1:55">
      <c r="A16" s="14"/>
      <c r="B16" s="10"/>
      <c r="C16" s="7">
        <f t="shared" si="0"/>
        <v>3</v>
      </c>
      <c r="D16" s="32" t="s">
        <v>403</v>
      </c>
      <c r="E16" s="8" t="s">
        <v>412</v>
      </c>
      <c r="F16" s="13"/>
      <c r="G16" s="8" t="s">
        <v>63</v>
      </c>
      <c r="H16" s="7"/>
      <c r="I16" s="7"/>
      <c r="J16" s="7" t="s">
        <v>0</v>
      </c>
      <c r="K16" s="8"/>
      <c r="L16" s="7"/>
      <c r="M16" s="7">
        <v>2</v>
      </c>
      <c r="N16" s="8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8"/>
      <c r="AA16" s="8"/>
      <c r="AB16" s="7"/>
      <c r="AC16" s="8"/>
      <c r="AD16" s="8"/>
      <c r="AE16" s="7"/>
      <c r="AF16" s="8"/>
      <c r="AG16" s="8"/>
      <c r="AH16" s="7"/>
      <c r="AI16" s="8"/>
      <c r="AJ16" s="8"/>
      <c r="AK16" s="7"/>
      <c r="AL16" s="8"/>
      <c r="AM16" s="8"/>
      <c r="AN16" s="7"/>
      <c r="AO16" s="8"/>
      <c r="AP16" s="8"/>
      <c r="AQ16" s="7"/>
      <c r="AR16" s="8"/>
      <c r="AS16" s="8"/>
      <c r="AT16" s="7"/>
      <c r="AU16" s="8"/>
      <c r="AV16" s="8"/>
      <c r="AW16" s="7"/>
      <c r="AX16" s="8"/>
      <c r="AY16" s="8"/>
      <c r="AZ16" s="7"/>
      <c r="BA16" s="8"/>
      <c r="BB16" s="8"/>
      <c r="BC16" s="7"/>
    </row>
    <row r="17" spans="1:55">
      <c r="A17" s="14"/>
      <c r="B17" s="10"/>
      <c r="C17" s="7">
        <f t="shared" si="0"/>
        <v>4</v>
      </c>
      <c r="D17" s="8" t="s">
        <v>108</v>
      </c>
      <c r="E17" s="8" t="s">
        <v>111</v>
      </c>
      <c r="F17" s="13"/>
      <c r="G17" s="8" t="s">
        <v>56</v>
      </c>
      <c r="H17" s="7">
        <v>5</v>
      </c>
      <c r="I17" s="7">
        <v>1</v>
      </c>
      <c r="J17" s="35" t="s">
        <v>0</v>
      </c>
      <c r="K17" s="8"/>
      <c r="L17" s="7"/>
      <c r="M17" s="7"/>
      <c r="N17" s="8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8"/>
      <c r="AA17" s="8"/>
      <c r="AB17" s="7"/>
      <c r="AC17" s="8"/>
      <c r="AD17" s="8"/>
      <c r="AE17" s="7"/>
      <c r="AF17" s="8"/>
      <c r="AG17" s="8"/>
      <c r="AH17" s="7"/>
      <c r="AI17" s="8"/>
      <c r="AJ17" s="8"/>
      <c r="AK17" s="7"/>
      <c r="AL17" s="8"/>
      <c r="AM17" s="8"/>
      <c r="AN17" s="7"/>
      <c r="AO17" s="8"/>
      <c r="AP17" s="8"/>
      <c r="AQ17" s="7"/>
      <c r="AR17" s="8"/>
      <c r="AS17" s="8"/>
      <c r="AT17" s="7"/>
      <c r="AU17" s="8"/>
      <c r="AV17" s="8"/>
      <c r="AW17" s="7"/>
      <c r="AX17" s="8"/>
      <c r="AY17" s="8"/>
      <c r="AZ17" s="7"/>
      <c r="BA17" s="8"/>
      <c r="BB17" s="8"/>
      <c r="BC17" s="7"/>
    </row>
    <row r="18" spans="1:55">
      <c r="A18" s="14"/>
      <c r="B18" s="10"/>
      <c r="C18" s="7">
        <f t="shared" si="0"/>
        <v>5</v>
      </c>
      <c r="D18" s="8" t="s">
        <v>132</v>
      </c>
      <c r="E18" s="8" t="s">
        <v>133</v>
      </c>
      <c r="F18" s="13"/>
      <c r="G18" s="8" t="s">
        <v>56</v>
      </c>
      <c r="H18" s="7"/>
      <c r="I18" s="7"/>
      <c r="J18" s="35" t="s">
        <v>0</v>
      </c>
      <c r="K18" s="8"/>
      <c r="L18" s="7"/>
      <c r="M18" s="7"/>
      <c r="N18" s="8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8"/>
      <c r="AA18" s="8"/>
      <c r="AB18" s="7"/>
      <c r="AC18" s="8"/>
      <c r="AD18" s="8"/>
      <c r="AE18" s="7"/>
      <c r="AF18" s="8"/>
      <c r="AG18" s="8"/>
      <c r="AH18" s="7"/>
      <c r="AI18" s="8"/>
      <c r="AJ18" s="8"/>
      <c r="AK18" s="7"/>
      <c r="AL18" s="8"/>
      <c r="AM18" s="8"/>
      <c r="AN18" s="7"/>
      <c r="AO18" s="8"/>
      <c r="AP18" s="8"/>
      <c r="AQ18" s="7"/>
      <c r="AR18" s="8"/>
      <c r="AS18" s="8"/>
      <c r="AT18" s="7"/>
      <c r="AU18" s="8"/>
      <c r="AV18" s="8"/>
      <c r="AW18" s="7"/>
      <c r="AX18" s="8"/>
      <c r="AY18" s="8"/>
      <c r="AZ18" s="7"/>
      <c r="BA18" s="8"/>
      <c r="BB18" s="8"/>
      <c r="BC18" s="7"/>
    </row>
    <row r="19" spans="1:55">
      <c r="A19" s="14"/>
      <c r="B19" s="10"/>
      <c r="C19" s="7">
        <f t="shared" si="0"/>
        <v>6</v>
      </c>
      <c r="D19" s="8" t="s">
        <v>135</v>
      </c>
      <c r="E19" s="8" t="s">
        <v>134</v>
      </c>
      <c r="F19" s="13"/>
      <c r="G19" s="8" t="s">
        <v>56</v>
      </c>
      <c r="H19" s="7"/>
      <c r="I19" s="7"/>
      <c r="J19" s="35" t="s">
        <v>0</v>
      </c>
      <c r="K19" s="8"/>
      <c r="L19" s="7"/>
      <c r="M19" s="7"/>
      <c r="N19" s="8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8"/>
      <c r="AA19" s="8"/>
      <c r="AB19" s="7"/>
      <c r="AC19" s="8"/>
      <c r="AD19" s="8"/>
      <c r="AE19" s="7"/>
      <c r="AF19" s="8"/>
      <c r="AG19" s="8"/>
      <c r="AH19" s="7"/>
      <c r="AI19" s="8"/>
      <c r="AJ19" s="8"/>
      <c r="AK19" s="7"/>
      <c r="AL19" s="8"/>
      <c r="AM19" s="8"/>
      <c r="AN19" s="7"/>
      <c r="AO19" s="8"/>
      <c r="AP19" s="8"/>
      <c r="AQ19" s="7"/>
      <c r="AR19" s="8"/>
      <c r="AS19" s="8"/>
      <c r="AT19" s="7"/>
      <c r="AU19" s="8"/>
      <c r="AV19" s="8"/>
      <c r="AW19" s="7"/>
      <c r="AX19" s="8"/>
      <c r="AY19" s="8"/>
      <c r="AZ19" s="7"/>
      <c r="BA19" s="8"/>
      <c r="BB19" s="8"/>
      <c r="BC19" s="7"/>
    </row>
    <row r="20" spans="1:55">
      <c r="A20" s="14"/>
      <c r="B20" s="10"/>
      <c r="C20" s="7">
        <f t="shared" si="0"/>
        <v>7</v>
      </c>
      <c r="D20" s="39" t="s">
        <v>92</v>
      </c>
      <c r="E20" s="8" t="s">
        <v>99</v>
      </c>
      <c r="F20" s="13"/>
      <c r="G20" s="8" t="s">
        <v>56</v>
      </c>
      <c r="H20" s="7">
        <v>5</v>
      </c>
      <c r="I20" s="7">
        <v>1</v>
      </c>
      <c r="J20" s="7" t="s">
        <v>0</v>
      </c>
      <c r="K20" s="8"/>
      <c r="L20" s="7"/>
      <c r="M20" s="7"/>
      <c r="N20" s="8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8"/>
      <c r="AA20" s="8"/>
      <c r="AB20" s="7"/>
      <c r="AC20" s="8"/>
      <c r="AD20" s="8"/>
      <c r="AE20" s="7"/>
      <c r="AF20" s="8"/>
      <c r="AG20" s="8"/>
      <c r="AH20" s="7"/>
      <c r="AI20" s="8"/>
      <c r="AJ20" s="8"/>
      <c r="AK20" s="7"/>
      <c r="AL20" s="8"/>
      <c r="AM20" s="8"/>
      <c r="AN20" s="7"/>
      <c r="AO20" s="8"/>
      <c r="AP20" s="8"/>
      <c r="AQ20" s="7"/>
      <c r="AR20" s="8"/>
      <c r="AS20" s="8"/>
      <c r="AT20" s="7"/>
      <c r="AU20" s="8"/>
      <c r="AV20" s="8"/>
      <c r="AW20" s="7"/>
      <c r="AX20" s="8"/>
      <c r="AY20" s="8"/>
      <c r="AZ20" s="7"/>
      <c r="BA20" s="8"/>
      <c r="BB20" s="8"/>
      <c r="BC20" s="7"/>
    </row>
    <row r="21" spans="1:55">
      <c r="A21" s="14"/>
      <c r="B21" s="10"/>
      <c r="C21" s="7">
        <f t="shared" si="0"/>
        <v>8</v>
      </c>
      <c r="D21" s="39" t="s">
        <v>93</v>
      </c>
      <c r="E21" s="8" t="s">
        <v>100</v>
      </c>
      <c r="F21" s="13"/>
      <c r="G21" s="8" t="s">
        <v>56</v>
      </c>
      <c r="H21" s="7"/>
      <c r="I21" s="7"/>
      <c r="J21" s="7" t="s">
        <v>0</v>
      </c>
      <c r="K21" s="8"/>
      <c r="L21" s="7"/>
      <c r="M21" s="7"/>
      <c r="N21" s="8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8"/>
      <c r="AA21" s="8"/>
      <c r="AB21" s="7"/>
      <c r="AC21" s="8"/>
      <c r="AD21" s="8"/>
      <c r="AE21" s="7"/>
      <c r="AF21" s="8"/>
      <c r="AG21" s="8"/>
      <c r="AH21" s="7"/>
      <c r="AI21" s="8"/>
      <c r="AJ21" s="8"/>
      <c r="AK21" s="7"/>
      <c r="AL21" s="8"/>
      <c r="AM21" s="8"/>
      <c r="AN21" s="7"/>
      <c r="AO21" s="8"/>
      <c r="AP21" s="8"/>
      <c r="AQ21" s="7"/>
      <c r="AR21" s="8"/>
      <c r="AS21" s="8"/>
      <c r="AT21" s="7"/>
      <c r="AU21" s="8"/>
      <c r="AV21" s="8"/>
      <c r="AW21" s="7"/>
      <c r="AX21" s="8"/>
      <c r="AY21" s="8"/>
      <c r="AZ21" s="7"/>
      <c r="BA21" s="8"/>
      <c r="BB21" s="8"/>
      <c r="BC21" s="7"/>
    </row>
    <row r="22" spans="1:55">
      <c r="A22" s="14"/>
      <c r="B22" s="10"/>
      <c r="C22" s="7">
        <f t="shared" si="0"/>
        <v>9</v>
      </c>
      <c r="D22" s="39" t="s">
        <v>94</v>
      </c>
      <c r="E22" s="8" t="s">
        <v>101</v>
      </c>
      <c r="F22" s="13"/>
      <c r="G22" s="8" t="s">
        <v>56</v>
      </c>
      <c r="H22" s="7">
        <v>5</v>
      </c>
      <c r="I22" s="7">
        <v>1</v>
      </c>
      <c r="J22" s="7" t="s">
        <v>0</v>
      </c>
      <c r="K22" s="8"/>
      <c r="L22" s="7"/>
      <c r="M22" s="7"/>
      <c r="N22" s="8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8"/>
      <c r="AA22" s="8"/>
      <c r="AB22" s="7"/>
      <c r="AC22" s="8"/>
      <c r="AD22" s="8"/>
      <c r="AE22" s="7"/>
      <c r="AF22" s="8"/>
      <c r="AG22" s="8"/>
      <c r="AH22" s="7"/>
      <c r="AI22" s="8"/>
      <c r="AJ22" s="8"/>
      <c r="AK22" s="7"/>
      <c r="AL22" s="8"/>
      <c r="AM22" s="8"/>
      <c r="AN22" s="7"/>
      <c r="AO22" s="8"/>
      <c r="AP22" s="8"/>
      <c r="AQ22" s="7"/>
      <c r="AR22" s="8"/>
      <c r="AS22" s="8"/>
      <c r="AT22" s="7"/>
      <c r="AU22" s="8"/>
      <c r="AV22" s="8"/>
      <c r="AW22" s="7"/>
      <c r="AX22" s="8"/>
      <c r="AY22" s="8"/>
      <c r="AZ22" s="7"/>
      <c r="BA22" s="8"/>
      <c r="BB22" s="8"/>
      <c r="BC22" s="7"/>
    </row>
    <row r="23" spans="1:55">
      <c r="A23" s="14"/>
      <c r="B23" s="10"/>
      <c r="C23" s="7">
        <f t="shared" ref="C23:C26" si="1">C22+1</f>
        <v>10</v>
      </c>
      <c r="D23" s="39" t="s">
        <v>95</v>
      </c>
      <c r="E23" s="8" t="s">
        <v>102</v>
      </c>
      <c r="F23" s="13"/>
      <c r="G23" s="8" t="s">
        <v>56</v>
      </c>
      <c r="H23" s="7">
        <v>5</v>
      </c>
      <c r="I23" s="7">
        <v>1</v>
      </c>
      <c r="J23" s="7" t="s">
        <v>0</v>
      </c>
      <c r="K23" s="8"/>
      <c r="L23" s="7"/>
      <c r="M23" s="7"/>
      <c r="N23" s="8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8"/>
      <c r="AA23" s="8"/>
      <c r="AB23" s="7"/>
      <c r="AC23" s="8"/>
      <c r="AD23" s="8"/>
      <c r="AE23" s="7"/>
      <c r="AF23" s="8"/>
      <c r="AG23" s="8"/>
      <c r="AH23" s="7"/>
      <c r="AI23" s="8"/>
      <c r="AJ23" s="8"/>
      <c r="AK23" s="7"/>
      <c r="AL23" s="8"/>
      <c r="AM23" s="8"/>
      <c r="AN23" s="7"/>
      <c r="AO23" s="8"/>
      <c r="AP23" s="8"/>
      <c r="AQ23" s="7"/>
      <c r="AR23" s="8"/>
      <c r="AS23" s="8"/>
      <c r="AT23" s="7"/>
      <c r="AU23" s="8"/>
      <c r="AV23" s="8"/>
      <c r="AW23" s="7"/>
      <c r="AX23" s="8"/>
      <c r="AY23" s="8"/>
      <c r="AZ23" s="7"/>
      <c r="BA23" s="8"/>
      <c r="BB23" s="8"/>
      <c r="BC23" s="7"/>
    </row>
    <row r="24" spans="1:55">
      <c r="A24" s="14"/>
      <c r="B24" s="10"/>
      <c r="C24" s="7">
        <f t="shared" si="1"/>
        <v>11</v>
      </c>
      <c r="D24" s="39" t="s">
        <v>96</v>
      </c>
      <c r="E24" s="9" t="s">
        <v>103</v>
      </c>
      <c r="F24" s="13"/>
      <c r="G24" s="8" t="s">
        <v>56</v>
      </c>
      <c r="H24" s="7"/>
      <c r="I24" s="7"/>
      <c r="J24" s="7" t="s">
        <v>0</v>
      </c>
      <c r="K24" s="8"/>
      <c r="L24" s="7"/>
      <c r="M24" s="7"/>
      <c r="N24" s="8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8"/>
      <c r="AA24" s="8"/>
      <c r="AB24" s="7"/>
      <c r="AC24" s="8"/>
      <c r="AD24" s="8"/>
      <c r="AE24" s="7"/>
      <c r="AF24" s="8"/>
      <c r="AG24" s="8"/>
      <c r="AH24" s="7"/>
      <c r="AI24" s="8"/>
      <c r="AJ24" s="8"/>
      <c r="AK24" s="7"/>
      <c r="AL24" s="8"/>
      <c r="AM24" s="8"/>
      <c r="AN24" s="7"/>
      <c r="AO24" s="8"/>
      <c r="AP24" s="8"/>
      <c r="AQ24" s="7"/>
      <c r="AR24" s="8"/>
      <c r="AS24" s="8"/>
      <c r="AT24" s="7"/>
      <c r="AU24" s="8"/>
      <c r="AV24" s="8"/>
      <c r="AW24" s="7"/>
      <c r="AX24" s="8"/>
      <c r="AY24" s="8"/>
      <c r="AZ24" s="7"/>
      <c r="BA24" s="8"/>
      <c r="BB24" s="8"/>
      <c r="BC24" s="7"/>
    </row>
    <row r="25" spans="1:55">
      <c r="A25" s="14"/>
      <c r="B25" s="10"/>
      <c r="C25" s="7">
        <f t="shared" si="1"/>
        <v>12</v>
      </c>
      <c r="D25" s="39" t="s">
        <v>97</v>
      </c>
      <c r="E25" s="8" t="s">
        <v>104</v>
      </c>
      <c r="F25" s="13"/>
      <c r="G25" s="8" t="s">
        <v>56</v>
      </c>
      <c r="H25" s="7">
        <v>5</v>
      </c>
      <c r="I25" s="7">
        <v>1</v>
      </c>
      <c r="J25" s="7" t="s">
        <v>0</v>
      </c>
      <c r="K25" s="8"/>
      <c r="L25" s="7"/>
      <c r="M25" s="7"/>
      <c r="N25" s="8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8"/>
      <c r="AA25" s="8"/>
      <c r="AB25" s="7"/>
      <c r="AC25" s="8"/>
      <c r="AD25" s="8"/>
      <c r="AE25" s="7"/>
      <c r="AF25" s="8"/>
      <c r="AG25" s="8"/>
      <c r="AH25" s="7"/>
      <c r="AI25" s="8"/>
      <c r="AJ25" s="8"/>
      <c r="AK25" s="7"/>
      <c r="AL25" s="8"/>
      <c r="AM25" s="8"/>
      <c r="AN25" s="7"/>
      <c r="AO25" s="8"/>
      <c r="AP25" s="8"/>
      <c r="AQ25" s="7"/>
      <c r="AR25" s="8"/>
      <c r="AS25" s="8"/>
      <c r="AT25" s="7"/>
      <c r="AU25" s="8"/>
      <c r="AV25" s="8"/>
      <c r="AW25" s="7"/>
      <c r="AX25" s="8"/>
      <c r="AY25" s="8"/>
      <c r="AZ25" s="7"/>
      <c r="BA25" s="8"/>
      <c r="BB25" s="8"/>
      <c r="BC25" s="7"/>
    </row>
    <row r="26" spans="1:55">
      <c r="A26" s="14"/>
      <c r="B26" s="10"/>
      <c r="C26" s="7">
        <f t="shared" si="1"/>
        <v>13</v>
      </c>
      <c r="D26" s="39" t="s">
        <v>98</v>
      </c>
      <c r="E26" s="8" t="s">
        <v>105</v>
      </c>
      <c r="F26" s="13"/>
      <c r="G26" s="8" t="s">
        <v>56</v>
      </c>
      <c r="H26" s="7">
        <v>5</v>
      </c>
      <c r="I26" s="7">
        <v>1</v>
      </c>
      <c r="J26" s="7" t="s">
        <v>0</v>
      </c>
      <c r="K26" s="8"/>
      <c r="L26" s="7"/>
      <c r="M26" s="7"/>
      <c r="N26" s="8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8"/>
      <c r="AA26" s="8"/>
      <c r="AB26" s="7"/>
      <c r="AC26" s="8"/>
      <c r="AD26" s="8"/>
      <c r="AE26" s="7"/>
      <c r="AF26" s="8"/>
      <c r="AG26" s="8"/>
      <c r="AH26" s="7"/>
      <c r="AI26" s="8"/>
      <c r="AJ26" s="8"/>
      <c r="AK26" s="7"/>
      <c r="AL26" s="8"/>
      <c r="AM26" s="8"/>
      <c r="AN26" s="7"/>
      <c r="AO26" s="8"/>
      <c r="AP26" s="8"/>
      <c r="AQ26" s="7"/>
      <c r="AR26" s="8"/>
      <c r="AS26" s="8"/>
      <c r="AT26" s="7"/>
      <c r="AU26" s="8"/>
      <c r="AV26" s="8"/>
      <c r="AW26" s="7"/>
      <c r="AX26" s="8"/>
      <c r="AY26" s="8"/>
      <c r="AZ26" s="7"/>
      <c r="BA26" s="8"/>
      <c r="BB26" s="8"/>
      <c r="BC26" s="7"/>
    </row>
    <row r="27" spans="1:55">
      <c r="A27" s="37">
        <v>3</v>
      </c>
      <c r="B27" s="10" t="s">
        <v>90</v>
      </c>
      <c r="C27" s="7">
        <v>1</v>
      </c>
      <c r="D27" s="8" t="s">
        <v>78</v>
      </c>
      <c r="E27" s="9" t="s">
        <v>79</v>
      </c>
      <c r="F27" s="13"/>
      <c r="G27" s="8" t="s">
        <v>61</v>
      </c>
      <c r="H27" s="7"/>
      <c r="I27" s="7"/>
      <c r="J27" s="7" t="s">
        <v>0</v>
      </c>
      <c r="K27" s="8"/>
      <c r="L27" s="7">
        <v>1</v>
      </c>
      <c r="M27" s="7"/>
      <c r="N27" s="8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8"/>
      <c r="AA27" s="8"/>
      <c r="AB27" s="7"/>
      <c r="AC27" s="8"/>
      <c r="AD27" s="8"/>
      <c r="AE27" s="7"/>
      <c r="AF27" s="8"/>
      <c r="AG27" s="8"/>
      <c r="AH27" s="7"/>
      <c r="AI27" s="8"/>
      <c r="AJ27" s="8"/>
      <c r="AK27" s="7"/>
      <c r="AL27" s="8"/>
      <c r="AM27" s="8"/>
      <c r="AN27" s="7"/>
      <c r="AO27" s="8"/>
      <c r="AP27" s="8"/>
      <c r="AQ27" s="7"/>
      <c r="AR27" s="8"/>
      <c r="AS27" s="8"/>
      <c r="AT27" s="7"/>
      <c r="AU27" s="8"/>
      <c r="AV27" s="8"/>
      <c r="AW27" s="7"/>
      <c r="AX27" s="8"/>
      <c r="AY27" s="8"/>
      <c r="AZ27" s="7"/>
      <c r="BA27" s="8"/>
      <c r="BB27" s="8"/>
      <c r="BC27" s="7"/>
    </row>
    <row r="28" spans="1:55">
      <c r="A28" s="14"/>
      <c r="B28" s="10" t="s">
        <v>91</v>
      </c>
      <c r="C28" s="7">
        <f>C27+1</f>
        <v>2</v>
      </c>
      <c r="D28" s="32" t="s">
        <v>107</v>
      </c>
      <c r="E28" s="8" t="s">
        <v>110</v>
      </c>
      <c r="F28" s="13"/>
      <c r="G28" s="8" t="s">
        <v>63</v>
      </c>
      <c r="H28" s="7"/>
      <c r="I28" s="7"/>
      <c r="J28" s="7" t="s">
        <v>0</v>
      </c>
      <c r="K28" s="8"/>
      <c r="L28" s="7">
        <v>2</v>
      </c>
      <c r="M28" s="7">
        <v>1</v>
      </c>
      <c r="N28" s="8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8" t="s">
        <v>226</v>
      </c>
      <c r="AA28" s="8" t="s">
        <v>227</v>
      </c>
      <c r="AB28" s="7" t="s">
        <v>0</v>
      </c>
      <c r="AC28" s="8"/>
      <c r="AD28" s="8"/>
      <c r="AE28" s="7"/>
      <c r="AF28" s="8"/>
      <c r="AG28" s="8"/>
      <c r="AH28" s="7"/>
      <c r="AI28" s="8"/>
      <c r="AJ28" s="8"/>
      <c r="AK28" s="7"/>
      <c r="AL28" s="8"/>
      <c r="AM28" s="8"/>
      <c r="AN28" s="7"/>
      <c r="AO28" s="8"/>
      <c r="AP28" s="8"/>
      <c r="AQ28" s="7"/>
      <c r="AR28" s="8"/>
      <c r="AS28" s="8"/>
      <c r="AT28" s="7"/>
      <c r="AU28" s="8"/>
      <c r="AV28" s="8"/>
      <c r="AW28" s="7"/>
      <c r="AX28" s="8"/>
      <c r="AY28" s="8"/>
      <c r="AZ28" s="7"/>
      <c r="BA28" s="8"/>
      <c r="BB28" s="8"/>
      <c r="BC28" s="7"/>
    </row>
    <row r="29" spans="1:55">
      <c r="A29" s="14"/>
      <c r="B29" s="10"/>
      <c r="C29" s="7">
        <f>C28+1</f>
        <v>3</v>
      </c>
      <c r="D29" s="8" t="s">
        <v>121</v>
      </c>
      <c r="E29" s="8" t="s">
        <v>126</v>
      </c>
      <c r="F29" s="13"/>
      <c r="G29" s="8" t="s">
        <v>56</v>
      </c>
      <c r="H29" s="7">
        <v>4</v>
      </c>
      <c r="I29" s="7">
        <v>1</v>
      </c>
      <c r="J29" s="7" t="s">
        <v>0</v>
      </c>
      <c r="K29" s="8"/>
      <c r="L29" s="7"/>
      <c r="M29" s="7">
        <v>2</v>
      </c>
      <c r="N29" s="8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8"/>
      <c r="AA29" s="8"/>
      <c r="AB29" s="7"/>
      <c r="AC29" s="8"/>
      <c r="AD29" s="8"/>
      <c r="AE29" s="7"/>
      <c r="AF29" s="8"/>
      <c r="AG29" s="8"/>
      <c r="AH29" s="7"/>
      <c r="AI29" s="8"/>
      <c r="AJ29" s="8"/>
      <c r="AK29" s="7"/>
      <c r="AL29" s="8"/>
      <c r="AM29" s="8"/>
      <c r="AN29" s="7"/>
      <c r="AO29" s="8"/>
      <c r="AP29" s="8"/>
      <c r="AQ29" s="7"/>
      <c r="AR29" s="8"/>
      <c r="AS29" s="8"/>
      <c r="AT29" s="7"/>
      <c r="AU29" s="8"/>
      <c r="AV29" s="8"/>
      <c r="AW29" s="7"/>
      <c r="AX29" s="8"/>
      <c r="AY29" s="8"/>
      <c r="AZ29" s="7"/>
      <c r="BA29" s="8"/>
      <c r="BB29" s="8"/>
      <c r="BC29" s="7"/>
    </row>
    <row r="30" spans="1:55">
      <c r="A30" s="14"/>
      <c r="B30" s="10"/>
      <c r="C30" s="7">
        <f>C29+1</f>
        <v>4</v>
      </c>
      <c r="D30" s="8" t="s">
        <v>113</v>
      </c>
      <c r="E30" s="8" t="s">
        <v>117</v>
      </c>
      <c r="F30" s="13"/>
      <c r="G30" s="8" t="s">
        <v>56</v>
      </c>
      <c r="H30" s="7"/>
      <c r="I30" s="7"/>
      <c r="J30" s="7" t="s">
        <v>0</v>
      </c>
      <c r="K30" s="8"/>
      <c r="L30" s="7"/>
      <c r="M30" s="7"/>
      <c r="N30" s="8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8"/>
      <c r="AA30" s="8"/>
      <c r="AB30" s="7"/>
      <c r="AC30" s="8"/>
      <c r="AD30" s="8"/>
      <c r="AE30" s="7"/>
      <c r="AF30" s="8"/>
      <c r="AG30" s="8"/>
      <c r="AH30" s="7"/>
      <c r="AI30" s="8"/>
      <c r="AJ30" s="8"/>
      <c r="AK30" s="7"/>
      <c r="AL30" s="8"/>
      <c r="AM30" s="8"/>
      <c r="AN30" s="7"/>
      <c r="AO30" s="8"/>
      <c r="AP30" s="8"/>
      <c r="AQ30" s="7"/>
      <c r="AR30" s="8"/>
      <c r="AS30" s="8"/>
      <c r="AT30" s="7"/>
      <c r="AU30" s="8"/>
      <c r="AV30" s="8"/>
      <c r="AW30" s="7"/>
      <c r="AX30" s="8"/>
      <c r="AY30" s="8"/>
      <c r="AZ30" s="7"/>
      <c r="BA30" s="8"/>
      <c r="BB30" s="8"/>
      <c r="BC30" s="7"/>
    </row>
    <row r="31" spans="1:55">
      <c r="A31" s="14">
        <v>4</v>
      </c>
      <c r="B31" s="10" t="s">
        <v>83</v>
      </c>
      <c r="C31" s="7">
        <v>1</v>
      </c>
      <c r="D31" s="8" t="s">
        <v>78</v>
      </c>
      <c r="E31" s="9" t="s">
        <v>79</v>
      </c>
      <c r="F31" s="13"/>
      <c r="G31" s="8" t="s">
        <v>61</v>
      </c>
      <c r="H31" s="7"/>
      <c r="I31" s="7"/>
      <c r="J31" s="7" t="s">
        <v>0</v>
      </c>
      <c r="K31" s="8"/>
      <c r="L31" s="7">
        <v>1</v>
      </c>
      <c r="M31" s="7"/>
      <c r="N31" s="8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8"/>
      <c r="AA31" s="8"/>
      <c r="AB31" s="7"/>
      <c r="AC31" s="8"/>
      <c r="AD31" s="8"/>
      <c r="AE31" s="7"/>
      <c r="AF31" s="8"/>
      <c r="AG31" s="8"/>
      <c r="AH31" s="7"/>
      <c r="AI31" s="8"/>
      <c r="AJ31" s="8"/>
      <c r="AK31" s="7"/>
      <c r="AL31" s="8"/>
      <c r="AM31" s="8"/>
      <c r="AN31" s="7"/>
      <c r="AO31" s="8"/>
      <c r="AP31" s="8"/>
      <c r="AQ31" s="7"/>
      <c r="AR31" s="8"/>
      <c r="AS31" s="8"/>
      <c r="AT31" s="7"/>
      <c r="AU31" s="8"/>
      <c r="AV31" s="8"/>
      <c r="AW31" s="7"/>
      <c r="AX31" s="8"/>
      <c r="AY31" s="8"/>
      <c r="AZ31" s="7"/>
      <c r="BA31" s="8"/>
      <c r="BB31" s="8"/>
      <c r="BC31" s="7"/>
    </row>
    <row r="32" spans="1:55">
      <c r="A32" s="14"/>
      <c r="B32" s="10" t="s">
        <v>221</v>
      </c>
      <c r="C32" s="7">
        <f>C31+1</f>
        <v>2</v>
      </c>
      <c r="D32" s="8" t="s">
        <v>138</v>
      </c>
      <c r="E32" s="8" t="s">
        <v>124</v>
      </c>
      <c r="F32" s="13"/>
      <c r="G32" s="8" t="s">
        <v>63</v>
      </c>
      <c r="H32" s="7"/>
      <c r="I32" s="7"/>
      <c r="J32" s="7" t="s">
        <v>0</v>
      </c>
      <c r="K32" s="8"/>
      <c r="L32" s="7"/>
      <c r="M32" s="36">
        <v>1</v>
      </c>
      <c r="N32" s="8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8"/>
      <c r="AA32" s="8"/>
      <c r="AB32" s="7"/>
      <c r="AC32" s="8"/>
      <c r="AD32" s="8"/>
      <c r="AE32" s="7"/>
      <c r="AF32" s="8"/>
      <c r="AG32" s="8"/>
      <c r="AH32" s="7"/>
      <c r="AI32" s="8"/>
      <c r="AJ32" s="8"/>
      <c r="AK32" s="7"/>
      <c r="AL32" s="8"/>
      <c r="AM32" s="8"/>
      <c r="AN32" s="7"/>
      <c r="AO32" s="8"/>
      <c r="AP32" s="8"/>
      <c r="AQ32" s="7"/>
      <c r="AR32" s="8"/>
      <c r="AS32" s="8"/>
      <c r="AT32" s="7"/>
      <c r="AU32" s="8"/>
      <c r="AV32" s="8"/>
      <c r="AW32" s="7"/>
      <c r="AX32" s="8"/>
      <c r="AY32" s="8"/>
      <c r="AZ32" s="7"/>
      <c r="BA32" s="8"/>
      <c r="BB32" s="8"/>
      <c r="BC32" s="7"/>
    </row>
    <row r="33" spans="1:55">
      <c r="A33" s="14"/>
      <c r="B33" s="10"/>
      <c r="C33" s="7">
        <f>C32+1</f>
        <v>3</v>
      </c>
      <c r="D33" s="8" t="s">
        <v>119</v>
      </c>
      <c r="E33" s="9" t="s">
        <v>123</v>
      </c>
      <c r="F33" s="13"/>
      <c r="G33" s="8" t="s">
        <v>63</v>
      </c>
      <c r="H33" s="7"/>
      <c r="I33" s="7"/>
      <c r="J33" s="7" t="s">
        <v>0</v>
      </c>
      <c r="K33" s="8"/>
      <c r="L33" s="7"/>
      <c r="M33" s="36">
        <v>2</v>
      </c>
      <c r="N33" s="8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8"/>
      <c r="AA33" s="8"/>
      <c r="AB33" s="7"/>
      <c r="AC33" s="8"/>
      <c r="AD33" s="8"/>
      <c r="AE33" s="7"/>
      <c r="AF33" s="8"/>
      <c r="AG33" s="8"/>
      <c r="AH33" s="7"/>
      <c r="AI33" s="8"/>
      <c r="AJ33" s="8"/>
      <c r="AK33" s="7"/>
      <c r="AL33" s="8"/>
      <c r="AM33" s="8"/>
      <c r="AN33" s="7"/>
      <c r="AO33" s="8"/>
      <c r="AP33" s="8"/>
      <c r="AQ33" s="7"/>
      <c r="AR33" s="8"/>
      <c r="AS33" s="8"/>
      <c r="AT33" s="7"/>
      <c r="AU33" s="8"/>
      <c r="AV33" s="8"/>
      <c r="AW33" s="7"/>
      <c r="AX33" s="8"/>
      <c r="AY33" s="8"/>
      <c r="AZ33" s="7"/>
      <c r="BA33" s="8"/>
      <c r="BB33" s="8"/>
      <c r="BC33" s="7"/>
    </row>
    <row r="34" spans="1:55">
      <c r="A34" s="14"/>
      <c r="B34" s="10"/>
      <c r="C34" s="7">
        <f>C33+1</f>
        <v>4</v>
      </c>
      <c r="D34" s="8" t="s">
        <v>139</v>
      </c>
      <c r="E34" s="8" t="s">
        <v>137</v>
      </c>
      <c r="F34" s="13"/>
      <c r="G34" s="8" t="s">
        <v>56</v>
      </c>
      <c r="H34" s="7"/>
      <c r="I34" s="7"/>
      <c r="J34" s="7"/>
      <c r="K34" s="8"/>
      <c r="L34" s="7"/>
      <c r="M34" s="7"/>
      <c r="N34" s="8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8"/>
      <c r="AA34" s="8"/>
      <c r="AB34" s="7"/>
      <c r="AC34" s="8"/>
      <c r="AD34" s="8"/>
      <c r="AE34" s="7"/>
      <c r="AF34" s="8"/>
      <c r="AG34" s="8"/>
      <c r="AH34" s="7"/>
      <c r="AI34" s="8"/>
      <c r="AJ34" s="8"/>
      <c r="AK34" s="7"/>
      <c r="AL34" s="8"/>
      <c r="AM34" s="8"/>
      <c r="AN34" s="7"/>
      <c r="AO34" s="8"/>
      <c r="AP34" s="8"/>
      <c r="AQ34" s="7"/>
      <c r="AR34" s="8"/>
      <c r="AS34" s="8"/>
      <c r="AT34" s="7"/>
      <c r="AU34" s="8"/>
      <c r="AV34" s="8"/>
      <c r="AW34" s="7"/>
      <c r="AX34" s="8"/>
      <c r="AY34" s="8"/>
      <c r="AZ34" s="7"/>
      <c r="BA34" s="8"/>
      <c r="BB34" s="8"/>
      <c r="BC34" s="7"/>
    </row>
    <row r="35" spans="1:55">
      <c r="A35" s="14"/>
      <c r="B35" s="10"/>
      <c r="C35" s="7">
        <f>C34+1</f>
        <v>5</v>
      </c>
      <c r="D35" s="8" t="s">
        <v>121</v>
      </c>
      <c r="E35" s="8" t="s">
        <v>126</v>
      </c>
      <c r="F35" s="13"/>
      <c r="G35" s="8" t="s">
        <v>56</v>
      </c>
      <c r="H35" s="7">
        <v>4</v>
      </c>
      <c r="I35" s="7">
        <v>1</v>
      </c>
      <c r="J35" s="7"/>
      <c r="K35" s="8"/>
      <c r="L35" s="7"/>
      <c r="M35" s="7"/>
      <c r="N35" s="8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8"/>
      <c r="AA35" s="8"/>
      <c r="AB35" s="7"/>
      <c r="AC35" s="8"/>
      <c r="AD35" s="8"/>
      <c r="AE35" s="7"/>
      <c r="AF35" s="8"/>
      <c r="AG35" s="8"/>
      <c r="AH35" s="7"/>
      <c r="AI35" s="8"/>
      <c r="AJ35" s="8"/>
      <c r="AK35" s="7"/>
      <c r="AL35" s="8"/>
      <c r="AM35" s="8"/>
      <c r="AN35" s="7"/>
      <c r="AO35" s="8"/>
      <c r="AP35" s="8"/>
      <c r="AQ35" s="7"/>
      <c r="AR35" s="8"/>
      <c r="AS35" s="8"/>
      <c r="AT35" s="7"/>
      <c r="AU35" s="8"/>
      <c r="AV35" s="8"/>
      <c r="AW35" s="7"/>
      <c r="AX35" s="8"/>
      <c r="AY35" s="8"/>
      <c r="AZ35" s="7"/>
      <c r="BA35" s="8"/>
      <c r="BB35" s="8"/>
      <c r="BC35" s="7"/>
    </row>
    <row r="36" spans="1:55">
      <c r="A36" s="14">
        <v>5</v>
      </c>
      <c r="B36" s="10" t="s">
        <v>84</v>
      </c>
      <c r="C36" s="7">
        <v>1</v>
      </c>
      <c r="D36" s="8" t="s">
        <v>78</v>
      </c>
      <c r="E36" s="9" t="s">
        <v>79</v>
      </c>
      <c r="F36" s="13"/>
      <c r="G36" s="8" t="s">
        <v>61</v>
      </c>
      <c r="H36" s="7"/>
      <c r="I36" s="7"/>
      <c r="J36" s="7" t="s">
        <v>0</v>
      </c>
      <c r="K36" s="8"/>
      <c r="L36" s="7">
        <v>1</v>
      </c>
      <c r="M36" s="7"/>
      <c r="N36" s="8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8"/>
      <c r="AA36" s="8"/>
      <c r="AB36" s="7"/>
      <c r="AC36" s="8"/>
      <c r="AD36" s="8"/>
      <c r="AE36" s="7"/>
      <c r="AF36" s="8"/>
      <c r="AG36" s="8"/>
      <c r="AH36" s="7"/>
      <c r="AI36" s="8"/>
      <c r="AJ36" s="8"/>
      <c r="AK36" s="7"/>
      <c r="AL36" s="8"/>
      <c r="AM36" s="8"/>
      <c r="AN36" s="7"/>
      <c r="AO36" s="8"/>
      <c r="AP36" s="8"/>
      <c r="AQ36" s="7"/>
      <c r="AR36" s="8"/>
      <c r="AS36" s="8"/>
      <c r="AT36" s="7"/>
      <c r="AU36" s="8"/>
      <c r="AV36" s="8"/>
      <c r="AW36" s="7"/>
      <c r="AX36" s="8"/>
      <c r="AY36" s="8"/>
      <c r="AZ36" s="7"/>
      <c r="BA36" s="8"/>
      <c r="BB36" s="8"/>
      <c r="BC36" s="7"/>
    </row>
    <row r="37" spans="1:55">
      <c r="A37" s="14"/>
      <c r="B37" s="10" t="s">
        <v>87</v>
      </c>
      <c r="C37" s="7">
        <f>C36+1</f>
        <v>2</v>
      </c>
      <c r="D37" s="8" t="s">
        <v>143</v>
      </c>
      <c r="E37" s="8" t="s">
        <v>420</v>
      </c>
      <c r="F37" s="13"/>
      <c r="G37" s="8" t="s">
        <v>63</v>
      </c>
      <c r="H37" s="7"/>
      <c r="I37" s="7"/>
      <c r="J37" s="7" t="s">
        <v>0</v>
      </c>
      <c r="K37" s="8"/>
      <c r="L37" s="7"/>
      <c r="M37" s="36">
        <v>1</v>
      </c>
      <c r="N37" s="8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32" t="s">
        <v>228</v>
      </c>
      <c r="AA37" s="32" t="s">
        <v>227</v>
      </c>
      <c r="AB37" s="35" t="s">
        <v>0</v>
      </c>
      <c r="AC37" s="8"/>
      <c r="AD37" s="8"/>
      <c r="AE37" s="7"/>
      <c r="AF37" s="8"/>
      <c r="AG37" s="8"/>
      <c r="AH37" s="7"/>
      <c r="AI37" s="8"/>
      <c r="AJ37" s="8"/>
      <c r="AK37" s="7"/>
      <c r="AL37" s="8"/>
      <c r="AM37" s="8"/>
      <c r="AN37" s="7"/>
      <c r="AO37" s="8"/>
      <c r="AP37" s="8"/>
      <c r="AQ37" s="7"/>
      <c r="AR37" s="8"/>
      <c r="AS37" s="8"/>
      <c r="AT37" s="7"/>
      <c r="AU37" s="8"/>
      <c r="AV37" s="8"/>
      <c r="AW37" s="7"/>
      <c r="AX37" s="8"/>
      <c r="AY37" s="8"/>
      <c r="AZ37" s="7"/>
      <c r="BA37" s="8"/>
      <c r="BB37" s="8"/>
      <c r="BC37" s="7"/>
    </row>
    <row r="38" spans="1:55">
      <c r="A38" s="14"/>
      <c r="B38" s="10"/>
      <c r="C38" s="7">
        <f>C37+1</f>
        <v>3</v>
      </c>
      <c r="D38" s="8" t="s">
        <v>112</v>
      </c>
      <c r="E38" s="9" t="s">
        <v>136</v>
      </c>
      <c r="F38" s="13"/>
      <c r="G38" s="8" t="s">
        <v>63</v>
      </c>
      <c r="H38" s="7"/>
      <c r="I38" s="7"/>
      <c r="J38" s="7" t="s">
        <v>0</v>
      </c>
      <c r="K38" s="8"/>
      <c r="L38" s="7"/>
      <c r="M38" s="36">
        <v>2</v>
      </c>
      <c r="N38" s="8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8"/>
      <c r="AA38" s="8"/>
      <c r="AB38" s="7"/>
      <c r="AC38" s="8"/>
      <c r="AD38" s="8"/>
      <c r="AE38" s="7"/>
      <c r="AF38" s="8"/>
      <c r="AG38" s="8"/>
      <c r="AH38" s="7"/>
      <c r="AI38" s="8"/>
      <c r="AJ38" s="8"/>
      <c r="AK38" s="7"/>
      <c r="AL38" s="8"/>
      <c r="AM38" s="8"/>
      <c r="AN38" s="7"/>
      <c r="AO38" s="8"/>
      <c r="AP38" s="8"/>
      <c r="AQ38" s="7"/>
      <c r="AR38" s="8"/>
      <c r="AS38" s="8"/>
      <c r="AT38" s="7"/>
      <c r="AU38" s="8"/>
      <c r="AV38" s="8"/>
      <c r="AW38" s="7"/>
      <c r="AX38" s="8"/>
      <c r="AY38" s="8"/>
      <c r="AZ38" s="7"/>
      <c r="BA38" s="8"/>
      <c r="BB38" s="8"/>
      <c r="BC38" s="7"/>
    </row>
    <row r="39" spans="1:55">
      <c r="A39" s="14"/>
      <c r="B39" s="10"/>
      <c r="C39" s="7">
        <f>C38+1</f>
        <v>4</v>
      </c>
      <c r="D39" s="8" t="s">
        <v>144</v>
      </c>
      <c r="E39" s="8" t="s">
        <v>279</v>
      </c>
      <c r="F39" s="13"/>
      <c r="G39" s="8" t="s">
        <v>56</v>
      </c>
      <c r="H39" s="7"/>
      <c r="I39" s="7"/>
      <c r="J39" s="7"/>
      <c r="K39" s="8"/>
      <c r="L39" s="7"/>
      <c r="M39" s="7"/>
      <c r="N39" s="8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8"/>
      <c r="AA39" s="8"/>
      <c r="AB39" s="7"/>
      <c r="AC39" s="8"/>
      <c r="AD39" s="8"/>
      <c r="AE39" s="7"/>
      <c r="AF39" s="8"/>
      <c r="AG39" s="8"/>
      <c r="AH39" s="7"/>
      <c r="AI39" s="8"/>
      <c r="AJ39" s="8"/>
      <c r="AK39" s="7"/>
      <c r="AL39" s="8"/>
      <c r="AM39" s="8"/>
      <c r="AN39" s="7"/>
      <c r="AO39" s="8"/>
      <c r="AP39" s="8"/>
      <c r="AQ39" s="7"/>
      <c r="AR39" s="8"/>
      <c r="AS39" s="8"/>
      <c r="AT39" s="7"/>
      <c r="AU39" s="8"/>
      <c r="AV39" s="8"/>
      <c r="AW39" s="7"/>
      <c r="AX39" s="8"/>
      <c r="AY39" s="8"/>
      <c r="AZ39" s="7"/>
      <c r="BA39" s="8"/>
      <c r="BB39" s="8"/>
      <c r="BC39" s="7"/>
    </row>
    <row r="40" spans="1:55">
      <c r="A40" s="14"/>
      <c r="B40" s="10"/>
      <c r="C40" s="7">
        <f t="shared" ref="C40:C44" si="2">C39+1</f>
        <v>5</v>
      </c>
      <c r="D40" s="8" t="s">
        <v>145</v>
      </c>
      <c r="E40" s="8" t="s">
        <v>141</v>
      </c>
      <c r="F40" s="13"/>
      <c r="G40" s="8" t="s">
        <v>56</v>
      </c>
      <c r="H40" s="7"/>
      <c r="I40" s="7"/>
      <c r="J40" s="7"/>
      <c r="K40" s="8"/>
      <c r="L40" s="7"/>
      <c r="M40" s="7"/>
      <c r="N40" s="8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8"/>
      <c r="AA40" s="8"/>
      <c r="AB40" s="7"/>
      <c r="AC40" s="8"/>
      <c r="AD40" s="8"/>
      <c r="AE40" s="7"/>
      <c r="AF40" s="8"/>
      <c r="AG40" s="8"/>
      <c r="AH40" s="7"/>
      <c r="AI40" s="8"/>
      <c r="AJ40" s="8"/>
      <c r="AK40" s="7"/>
      <c r="AL40" s="8"/>
      <c r="AM40" s="8"/>
      <c r="AN40" s="7"/>
      <c r="AO40" s="8"/>
      <c r="AP40" s="8"/>
      <c r="AQ40" s="7"/>
      <c r="AR40" s="8"/>
      <c r="AS40" s="8"/>
      <c r="AT40" s="7"/>
      <c r="AU40" s="8"/>
      <c r="AV40" s="8"/>
      <c r="AW40" s="7"/>
      <c r="AX40" s="8"/>
      <c r="AY40" s="8"/>
      <c r="AZ40" s="7"/>
      <c r="BA40" s="8"/>
      <c r="BB40" s="8"/>
      <c r="BC40" s="7"/>
    </row>
    <row r="41" spans="1:55">
      <c r="A41" s="14"/>
      <c r="B41" s="10"/>
      <c r="C41" s="7">
        <f t="shared" si="2"/>
        <v>6</v>
      </c>
      <c r="D41" s="39" t="s">
        <v>128</v>
      </c>
      <c r="E41" s="8" t="s">
        <v>129</v>
      </c>
      <c r="F41" s="13"/>
      <c r="G41" s="8" t="s">
        <v>56</v>
      </c>
      <c r="H41" s="7"/>
      <c r="I41" s="7"/>
      <c r="J41" s="7"/>
      <c r="K41" s="8"/>
      <c r="L41" s="7"/>
      <c r="M41" s="7"/>
      <c r="N41" s="8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8"/>
      <c r="AA41" s="8"/>
      <c r="AB41" s="7"/>
      <c r="AC41" s="8"/>
      <c r="AD41" s="8"/>
      <c r="AE41" s="7"/>
      <c r="AF41" s="8"/>
      <c r="AG41" s="8"/>
      <c r="AH41" s="7"/>
      <c r="AI41" s="8"/>
      <c r="AJ41" s="8"/>
      <c r="AK41" s="7"/>
      <c r="AL41" s="8"/>
      <c r="AM41" s="8"/>
      <c r="AN41" s="7"/>
      <c r="AO41" s="8"/>
      <c r="AP41" s="8"/>
      <c r="AQ41" s="7"/>
      <c r="AR41" s="8"/>
      <c r="AS41" s="8"/>
      <c r="AT41" s="7"/>
      <c r="AU41" s="8"/>
      <c r="AV41" s="8"/>
      <c r="AW41" s="7"/>
      <c r="AX41" s="8"/>
      <c r="AY41" s="8"/>
      <c r="AZ41" s="7"/>
      <c r="BA41" s="8"/>
      <c r="BB41" s="8"/>
      <c r="BC41" s="7"/>
    </row>
    <row r="42" spans="1:55">
      <c r="A42" s="14"/>
      <c r="B42" s="10"/>
      <c r="C42" s="7">
        <f t="shared" si="2"/>
        <v>7</v>
      </c>
      <c r="D42" s="8" t="s">
        <v>121</v>
      </c>
      <c r="E42" s="8" t="s">
        <v>126</v>
      </c>
      <c r="F42" s="13"/>
      <c r="G42" s="8" t="s">
        <v>56</v>
      </c>
      <c r="H42" s="7">
        <v>4</v>
      </c>
      <c r="I42" s="7">
        <v>1</v>
      </c>
      <c r="J42" s="7"/>
      <c r="K42" s="8"/>
      <c r="L42" s="7"/>
      <c r="M42" s="7"/>
      <c r="N42" s="8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8"/>
      <c r="AA42" s="8"/>
      <c r="AB42" s="7"/>
      <c r="AC42" s="8"/>
      <c r="AD42" s="8"/>
      <c r="AE42" s="7"/>
      <c r="AF42" s="8"/>
      <c r="AG42" s="8"/>
      <c r="AH42" s="7"/>
      <c r="AI42" s="8"/>
      <c r="AJ42" s="8"/>
      <c r="AK42" s="7"/>
      <c r="AL42" s="8"/>
      <c r="AM42" s="8"/>
      <c r="AN42" s="7"/>
      <c r="AO42" s="8"/>
      <c r="AP42" s="8"/>
      <c r="AQ42" s="7"/>
      <c r="AR42" s="8"/>
      <c r="AS42" s="8"/>
      <c r="AT42" s="7"/>
      <c r="AU42" s="8"/>
      <c r="AV42" s="8"/>
      <c r="AW42" s="7"/>
      <c r="AX42" s="8"/>
      <c r="AY42" s="8"/>
      <c r="AZ42" s="7"/>
      <c r="BA42" s="8"/>
      <c r="BB42" s="8"/>
      <c r="BC42" s="7"/>
    </row>
    <row r="43" spans="1:55">
      <c r="A43" s="14"/>
      <c r="B43" s="10"/>
      <c r="C43" s="7">
        <f t="shared" si="2"/>
        <v>8</v>
      </c>
      <c r="D43" s="8" t="s">
        <v>146</v>
      </c>
      <c r="E43" s="8" t="s">
        <v>280</v>
      </c>
      <c r="F43" s="13"/>
      <c r="G43" s="8" t="s">
        <v>50</v>
      </c>
      <c r="H43" s="7"/>
      <c r="I43" s="7"/>
      <c r="J43" s="7" t="s">
        <v>0</v>
      </c>
      <c r="K43" s="8"/>
      <c r="L43" s="7"/>
      <c r="M43" s="7"/>
      <c r="N43" s="8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8"/>
      <c r="AA43" s="8"/>
      <c r="AB43" s="7"/>
      <c r="AC43" s="8"/>
      <c r="AD43" s="8"/>
      <c r="AE43" s="7"/>
      <c r="AF43" s="8"/>
      <c r="AG43" s="8"/>
      <c r="AH43" s="7"/>
      <c r="AI43" s="8"/>
      <c r="AJ43" s="8"/>
      <c r="AK43" s="7"/>
      <c r="AL43" s="8"/>
      <c r="AM43" s="8"/>
      <c r="AN43" s="7"/>
      <c r="AO43" s="8"/>
      <c r="AP43" s="8"/>
      <c r="AQ43" s="7"/>
      <c r="AR43" s="8"/>
      <c r="AS43" s="8"/>
      <c r="AT43" s="7"/>
      <c r="AU43" s="8"/>
      <c r="AV43" s="8"/>
      <c r="AW43" s="7"/>
      <c r="AX43" s="8"/>
      <c r="AY43" s="8"/>
      <c r="AZ43" s="7"/>
      <c r="BA43" s="8"/>
      <c r="BB43" s="8"/>
      <c r="BC43" s="7"/>
    </row>
    <row r="44" spans="1:55">
      <c r="A44" s="14"/>
      <c r="B44" s="10"/>
      <c r="C44" s="7">
        <f t="shared" si="2"/>
        <v>9</v>
      </c>
      <c r="D44" s="8" t="s">
        <v>147</v>
      </c>
      <c r="E44" s="8" t="s">
        <v>142</v>
      </c>
      <c r="F44" s="13"/>
      <c r="G44" s="8" t="s">
        <v>48</v>
      </c>
      <c r="H44" s="7">
        <v>400</v>
      </c>
      <c r="I44" s="7"/>
      <c r="J44" s="7"/>
      <c r="K44" s="8"/>
      <c r="L44" s="7"/>
      <c r="M44" s="7"/>
      <c r="N44" s="8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8"/>
      <c r="AA44" s="8"/>
      <c r="AB44" s="7"/>
      <c r="AC44" s="8"/>
      <c r="AD44" s="8"/>
      <c r="AE44" s="7"/>
      <c r="AF44" s="8"/>
      <c r="AG44" s="8"/>
      <c r="AH44" s="7"/>
      <c r="AI44" s="8"/>
      <c r="AJ44" s="8"/>
      <c r="AK44" s="7"/>
      <c r="AL44" s="8"/>
      <c r="AM44" s="8"/>
      <c r="AN44" s="7"/>
      <c r="AO44" s="8"/>
      <c r="AP44" s="8"/>
      <c r="AQ44" s="7"/>
      <c r="AR44" s="8"/>
      <c r="AS44" s="8"/>
      <c r="AT44" s="7"/>
      <c r="AU44" s="8"/>
      <c r="AV44" s="8"/>
      <c r="AW44" s="7"/>
      <c r="AX44" s="8"/>
      <c r="AY44" s="8"/>
      <c r="AZ44" s="7"/>
      <c r="BA44" s="8"/>
      <c r="BB44" s="8"/>
      <c r="BC44" s="7"/>
    </row>
    <row r="45" spans="1:55">
      <c r="A45" s="37">
        <v>6</v>
      </c>
      <c r="B45" s="10" t="s">
        <v>81</v>
      </c>
      <c r="C45" s="7">
        <v>1</v>
      </c>
      <c r="D45" s="8" t="s">
        <v>78</v>
      </c>
      <c r="E45" s="9" t="s">
        <v>79</v>
      </c>
      <c r="F45" s="13"/>
      <c r="G45" s="8" t="s">
        <v>61</v>
      </c>
      <c r="H45" s="7"/>
      <c r="I45" s="7"/>
      <c r="J45" s="7" t="s">
        <v>0</v>
      </c>
      <c r="K45" s="8"/>
      <c r="L45" s="7">
        <v>1</v>
      </c>
      <c r="M45" s="7"/>
      <c r="N45" s="8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8"/>
      <c r="AA45" s="8"/>
      <c r="AB45" s="7"/>
      <c r="AC45" s="8"/>
      <c r="AD45" s="8"/>
      <c r="AE45" s="7"/>
      <c r="AF45" s="8"/>
      <c r="AG45" s="8"/>
      <c r="AH45" s="7"/>
      <c r="AI45" s="8"/>
      <c r="AJ45" s="8"/>
      <c r="AK45" s="7"/>
      <c r="AL45" s="8"/>
      <c r="AM45" s="8"/>
      <c r="AN45" s="7"/>
      <c r="AO45" s="8"/>
      <c r="AP45" s="8"/>
      <c r="AQ45" s="7"/>
      <c r="AR45" s="8"/>
      <c r="AS45" s="8"/>
      <c r="AT45" s="7"/>
      <c r="AU45" s="8"/>
      <c r="AV45" s="8"/>
      <c r="AW45" s="7"/>
      <c r="AX45" s="8"/>
      <c r="AY45" s="8"/>
      <c r="AZ45" s="7"/>
      <c r="BA45" s="8"/>
      <c r="BB45" s="8"/>
      <c r="BC45" s="7"/>
    </row>
    <row r="46" spans="1:55">
      <c r="A46" s="14"/>
      <c r="B46" s="10" t="s">
        <v>88</v>
      </c>
      <c r="C46" s="7">
        <f>C45+1</f>
        <v>2</v>
      </c>
      <c r="D46" s="8" t="s">
        <v>107</v>
      </c>
      <c r="E46" s="8" t="s">
        <v>110</v>
      </c>
      <c r="F46" s="13"/>
      <c r="G46" s="8" t="s">
        <v>63</v>
      </c>
      <c r="H46" s="7"/>
      <c r="I46" s="7"/>
      <c r="J46" s="7" t="s">
        <v>0</v>
      </c>
      <c r="K46" s="8"/>
      <c r="L46" s="7"/>
      <c r="M46" s="7">
        <v>1</v>
      </c>
      <c r="N46" s="8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8" t="s">
        <v>226</v>
      </c>
      <c r="AA46" s="8" t="s">
        <v>227</v>
      </c>
      <c r="AB46" s="7" t="s">
        <v>0</v>
      </c>
      <c r="AC46" s="8"/>
      <c r="AD46" s="8"/>
      <c r="AE46" s="7"/>
      <c r="AF46" s="8"/>
      <c r="AG46" s="8"/>
      <c r="AH46" s="7"/>
      <c r="AI46" s="8"/>
      <c r="AJ46" s="8"/>
      <c r="AK46" s="7"/>
      <c r="AL46" s="8"/>
      <c r="AM46" s="8"/>
      <c r="AN46" s="7"/>
      <c r="AO46" s="8"/>
      <c r="AP46" s="8"/>
      <c r="AQ46" s="7"/>
      <c r="AR46" s="8"/>
      <c r="AS46" s="8"/>
      <c r="AT46" s="7"/>
      <c r="AU46" s="8"/>
      <c r="AV46" s="8"/>
      <c r="AW46" s="7"/>
      <c r="AX46" s="8"/>
      <c r="AY46" s="8"/>
      <c r="AZ46" s="7"/>
      <c r="BA46" s="8"/>
      <c r="BB46" s="8"/>
      <c r="BC46" s="7"/>
    </row>
    <row r="47" spans="1:55">
      <c r="A47" s="14"/>
      <c r="B47" s="10"/>
      <c r="C47" s="7">
        <f>C46+1</f>
        <v>3</v>
      </c>
      <c r="D47" s="8" t="s">
        <v>421</v>
      </c>
      <c r="E47" s="9" t="s">
        <v>422</v>
      </c>
      <c r="F47" s="13"/>
      <c r="G47" s="8" t="s">
        <v>63</v>
      </c>
      <c r="H47" s="7"/>
      <c r="I47" s="7"/>
      <c r="J47" s="7" t="s">
        <v>0</v>
      </c>
      <c r="K47" s="8"/>
      <c r="L47" s="7"/>
      <c r="M47" s="7">
        <v>2</v>
      </c>
      <c r="N47" s="8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8"/>
      <c r="AA47" s="8"/>
      <c r="AB47" s="7"/>
      <c r="AC47" s="8"/>
      <c r="AD47" s="8"/>
      <c r="AE47" s="7"/>
      <c r="AF47" s="8"/>
      <c r="AG47" s="8"/>
      <c r="AH47" s="7"/>
      <c r="AI47" s="8"/>
      <c r="AJ47" s="8"/>
      <c r="AK47" s="7"/>
      <c r="AL47" s="8"/>
      <c r="AM47" s="8"/>
      <c r="AN47" s="7"/>
      <c r="AO47" s="8"/>
      <c r="AP47" s="8"/>
      <c r="AQ47" s="7"/>
      <c r="AR47" s="8"/>
      <c r="AS47" s="8"/>
      <c r="AT47" s="7"/>
      <c r="AU47" s="8"/>
      <c r="AV47" s="8"/>
      <c r="AW47" s="7"/>
      <c r="AX47" s="8"/>
      <c r="AY47" s="8"/>
      <c r="AZ47" s="7"/>
      <c r="BA47" s="8"/>
      <c r="BB47" s="8"/>
      <c r="BC47" s="7"/>
    </row>
    <row r="48" spans="1:55">
      <c r="A48" s="14"/>
      <c r="B48" s="10"/>
      <c r="C48" s="7">
        <f>C47+1</f>
        <v>4</v>
      </c>
      <c r="D48" s="8" t="s">
        <v>108</v>
      </c>
      <c r="E48" s="8" t="s">
        <v>111</v>
      </c>
      <c r="F48" s="13"/>
      <c r="G48" s="8" t="s">
        <v>56</v>
      </c>
      <c r="H48" s="7">
        <v>4</v>
      </c>
      <c r="I48" s="7">
        <v>1</v>
      </c>
      <c r="J48" s="7" t="s">
        <v>0</v>
      </c>
      <c r="K48" s="8"/>
      <c r="L48" s="7"/>
      <c r="M48" s="7"/>
      <c r="N48" s="8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8"/>
      <c r="AA48" s="8"/>
      <c r="AB48" s="7"/>
      <c r="AC48" s="8"/>
      <c r="AD48" s="8"/>
      <c r="AE48" s="7"/>
      <c r="AF48" s="8"/>
      <c r="AG48" s="8"/>
      <c r="AH48" s="7"/>
      <c r="AI48" s="8"/>
      <c r="AJ48" s="8"/>
      <c r="AK48" s="7"/>
      <c r="AL48" s="8"/>
      <c r="AM48" s="8"/>
      <c r="AN48" s="7"/>
      <c r="AO48" s="8"/>
      <c r="AP48" s="8"/>
      <c r="AQ48" s="7"/>
      <c r="AR48" s="8"/>
      <c r="AS48" s="8"/>
      <c r="AT48" s="7"/>
      <c r="AU48" s="8"/>
      <c r="AV48" s="8"/>
      <c r="AW48" s="7"/>
      <c r="AX48" s="8"/>
      <c r="AY48" s="8"/>
      <c r="AZ48" s="7"/>
      <c r="BA48" s="8"/>
      <c r="BB48" s="8"/>
      <c r="BC48" s="7"/>
    </row>
    <row r="49" spans="1:55">
      <c r="A49" s="14"/>
      <c r="B49" s="10"/>
      <c r="C49" s="7">
        <f>C48+1</f>
        <v>5</v>
      </c>
      <c r="D49" s="8" t="s">
        <v>92</v>
      </c>
      <c r="E49" s="8" t="s">
        <v>99</v>
      </c>
      <c r="F49" s="13"/>
      <c r="G49" s="8" t="s">
        <v>56</v>
      </c>
      <c r="H49" s="7">
        <v>4</v>
      </c>
      <c r="I49" s="7">
        <v>1</v>
      </c>
      <c r="J49" s="7" t="s">
        <v>0</v>
      </c>
      <c r="K49" s="8"/>
      <c r="L49" s="7"/>
      <c r="M49" s="7"/>
      <c r="N49" s="8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8"/>
      <c r="AA49" s="8"/>
      <c r="AB49" s="7"/>
      <c r="AC49" s="8"/>
      <c r="AD49" s="8"/>
      <c r="AE49" s="7"/>
      <c r="AF49" s="8"/>
      <c r="AG49" s="8"/>
      <c r="AH49" s="7"/>
      <c r="AI49" s="8"/>
      <c r="AJ49" s="8"/>
      <c r="AK49" s="7"/>
      <c r="AL49" s="8"/>
      <c r="AM49" s="8"/>
      <c r="AN49" s="7"/>
      <c r="AO49" s="8"/>
      <c r="AP49" s="8"/>
      <c r="AQ49" s="7"/>
      <c r="AR49" s="8"/>
      <c r="AS49" s="8"/>
      <c r="AT49" s="7"/>
      <c r="AU49" s="8"/>
      <c r="AV49" s="8"/>
      <c r="AW49" s="7"/>
      <c r="AX49" s="8"/>
      <c r="AY49" s="8"/>
      <c r="AZ49" s="7"/>
      <c r="BA49" s="8"/>
      <c r="BB49" s="8"/>
      <c r="BC49" s="7"/>
    </row>
    <row r="50" spans="1:55" ht="13.5">
      <c r="A50" s="38">
        <v>7</v>
      </c>
      <c r="B50" s="10" t="s">
        <v>85</v>
      </c>
      <c r="C50" s="7">
        <v>1</v>
      </c>
      <c r="D50" s="8" t="s">
        <v>78</v>
      </c>
      <c r="E50" s="9" t="s">
        <v>79</v>
      </c>
      <c r="F50" s="13"/>
      <c r="G50" s="8" t="s">
        <v>61</v>
      </c>
      <c r="H50" s="7"/>
      <c r="I50" s="7"/>
      <c r="J50" s="7" t="s">
        <v>0</v>
      </c>
      <c r="K50" s="8"/>
      <c r="L50" s="7">
        <v>1</v>
      </c>
      <c r="M50" s="7"/>
      <c r="N50" s="8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8"/>
      <c r="AA50" s="8"/>
      <c r="AB50" s="7"/>
      <c r="AC50" s="8"/>
      <c r="AD50" s="8"/>
      <c r="AE50" s="7"/>
      <c r="AF50" s="8"/>
      <c r="AG50" s="8"/>
      <c r="AH50" s="7"/>
      <c r="AI50" s="8"/>
      <c r="AJ50" s="8"/>
      <c r="AK50" s="7"/>
      <c r="AL50" s="8"/>
      <c r="AM50" s="8"/>
      <c r="AN50" s="7"/>
      <c r="AO50" s="8"/>
      <c r="AP50" s="8"/>
      <c r="AQ50" s="7"/>
      <c r="AR50" s="8"/>
      <c r="AS50" s="8"/>
      <c r="AT50" s="7"/>
      <c r="AU50" s="8"/>
      <c r="AV50" s="8"/>
      <c r="AW50" s="7"/>
      <c r="AX50" s="8"/>
      <c r="AY50" s="8"/>
      <c r="AZ50" s="7"/>
      <c r="BA50" s="8"/>
      <c r="BB50" s="8"/>
      <c r="BC50" s="7"/>
    </row>
    <row r="51" spans="1:55">
      <c r="A51" s="14"/>
      <c r="B51" s="10" t="s">
        <v>236</v>
      </c>
      <c r="C51" s="7">
        <f>C50+1</f>
        <v>2</v>
      </c>
      <c r="D51" s="8" t="s">
        <v>149</v>
      </c>
      <c r="E51" s="8" t="s">
        <v>235</v>
      </c>
      <c r="F51" s="13"/>
      <c r="G51" s="8" t="s">
        <v>63</v>
      </c>
      <c r="H51" s="7"/>
      <c r="I51" s="7"/>
      <c r="J51" s="7" t="s">
        <v>0</v>
      </c>
      <c r="K51" s="8"/>
      <c r="L51" s="7"/>
      <c r="M51" s="36">
        <v>1</v>
      </c>
      <c r="N51" s="8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32" t="s">
        <v>229</v>
      </c>
      <c r="AA51" s="32" t="s">
        <v>227</v>
      </c>
      <c r="AB51" s="35" t="s">
        <v>0</v>
      </c>
      <c r="AC51" s="8"/>
      <c r="AD51" s="8"/>
      <c r="AE51" s="7"/>
      <c r="AF51" s="8"/>
      <c r="AG51" s="8"/>
      <c r="AH51" s="7"/>
      <c r="AI51" s="8"/>
      <c r="AJ51" s="8"/>
      <c r="AK51" s="7"/>
      <c r="AL51" s="8"/>
      <c r="AM51" s="8"/>
      <c r="AN51" s="7"/>
      <c r="AO51" s="8"/>
      <c r="AP51" s="8"/>
      <c r="AQ51" s="7"/>
      <c r="AR51" s="8"/>
      <c r="AS51" s="8"/>
      <c r="AT51" s="7"/>
      <c r="AU51" s="8"/>
      <c r="AV51" s="8"/>
      <c r="AW51" s="7"/>
      <c r="AX51" s="8"/>
      <c r="AY51" s="8"/>
      <c r="AZ51" s="7"/>
      <c r="BA51" s="8"/>
      <c r="BB51" s="8"/>
      <c r="BC51" s="7"/>
    </row>
    <row r="52" spans="1:55">
      <c r="A52" s="14"/>
      <c r="B52" s="10"/>
      <c r="C52" s="7">
        <f>C51+1</f>
        <v>3</v>
      </c>
      <c r="D52" s="8" t="s">
        <v>106</v>
      </c>
      <c r="E52" s="9" t="s">
        <v>109</v>
      </c>
      <c r="F52" s="13"/>
      <c r="G52" s="8" t="s">
        <v>63</v>
      </c>
      <c r="H52" s="7"/>
      <c r="I52" s="7"/>
      <c r="J52" s="7" t="s">
        <v>0</v>
      </c>
      <c r="K52" s="8"/>
      <c r="L52" s="7"/>
      <c r="M52" s="36">
        <v>2</v>
      </c>
      <c r="N52" s="8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8"/>
      <c r="AA52" s="8"/>
      <c r="AB52" s="7"/>
      <c r="AC52" s="8"/>
      <c r="AD52" s="8"/>
      <c r="AE52" s="7"/>
      <c r="AF52" s="8"/>
      <c r="AG52" s="8"/>
      <c r="AH52" s="7"/>
      <c r="AI52" s="8"/>
      <c r="AJ52" s="8"/>
      <c r="AK52" s="7"/>
      <c r="AL52" s="8"/>
      <c r="AM52" s="8"/>
      <c r="AN52" s="7"/>
      <c r="AO52" s="8"/>
      <c r="AP52" s="8"/>
      <c r="AQ52" s="7"/>
      <c r="AR52" s="8"/>
      <c r="AS52" s="8"/>
      <c r="AT52" s="7"/>
      <c r="AU52" s="8"/>
      <c r="AV52" s="8"/>
      <c r="AW52" s="7"/>
      <c r="AX52" s="8"/>
      <c r="AY52" s="8"/>
      <c r="AZ52" s="7"/>
      <c r="BA52" s="8"/>
      <c r="BB52" s="8"/>
      <c r="BC52" s="7"/>
    </row>
    <row r="53" spans="1:55">
      <c r="A53" s="14"/>
      <c r="B53" s="10"/>
      <c r="C53" s="7">
        <f>C52+1</f>
        <v>4</v>
      </c>
      <c r="D53" s="8" t="s">
        <v>150</v>
      </c>
      <c r="E53" s="8" t="s">
        <v>148</v>
      </c>
      <c r="F53" s="13"/>
      <c r="G53" s="8" t="s">
        <v>56</v>
      </c>
      <c r="H53" s="7"/>
      <c r="I53" s="7"/>
      <c r="J53" s="35"/>
      <c r="K53" s="8"/>
      <c r="L53" s="7"/>
      <c r="M53" s="7"/>
      <c r="N53" s="8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8"/>
      <c r="AA53" s="8"/>
      <c r="AB53" s="7"/>
      <c r="AC53" s="8"/>
      <c r="AD53" s="8"/>
      <c r="AE53" s="7"/>
      <c r="AF53" s="8"/>
      <c r="AG53" s="8"/>
      <c r="AH53" s="7"/>
      <c r="AI53" s="8"/>
      <c r="AJ53" s="8"/>
      <c r="AK53" s="7"/>
      <c r="AL53" s="8"/>
      <c r="AM53" s="8"/>
      <c r="AN53" s="7"/>
      <c r="AO53" s="8"/>
      <c r="AP53" s="8"/>
      <c r="AQ53" s="7"/>
      <c r="AR53" s="8"/>
      <c r="AS53" s="8"/>
      <c r="AT53" s="7"/>
      <c r="AU53" s="8"/>
      <c r="AV53" s="8"/>
      <c r="AW53" s="7"/>
      <c r="AX53" s="8"/>
      <c r="AY53" s="8"/>
      <c r="AZ53" s="7"/>
      <c r="BA53" s="8"/>
      <c r="BB53" s="8"/>
      <c r="BC53" s="7"/>
    </row>
    <row r="54" spans="1:55">
      <c r="A54" s="14"/>
      <c r="B54" s="10"/>
      <c r="C54" s="7">
        <f>C53+1</f>
        <v>5</v>
      </c>
      <c r="D54" s="39" t="s">
        <v>130</v>
      </c>
      <c r="E54" s="8" t="s">
        <v>126</v>
      </c>
      <c r="F54" s="13"/>
      <c r="G54" s="8" t="s">
        <v>56</v>
      </c>
      <c r="H54" s="7">
        <v>4</v>
      </c>
      <c r="I54" s="7">
        <v>1</v>
      </c>
      <c r="J54" s="35"/>
      <c r="K54" s="8"/>
      <c r="L54" s="7"/>
      <c r="M54" s="7"/>
      <c r="N54" s="8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8"/>
      <c r="AA54" s="8"/>
      <c r="AB54" s="7"/>
      <c r="AC54" s="8"/>
      <c r="AD54" s="8"/>
      <c r="AE54" s="7"/>
      <c r="AF54" s="8"/>
      <c r="AG54" s="8"/>
      <c r="AH54" s="7"/>
      <c r="AI54" s="8"/>
      <c r="AJ54" s="8"/>
      <c r="AK54" s="7"/>
      <c r="AL54" s="8"/>
      <c r="AM54" s="8"/>
      <c r="AN54" s="7"/>
      <c r="AO54" s="8"/>
      <c r="AP54" s="8"/>
      <c r="AQ54" s="7"/>
      <c r="AR54" s="8"/>
      <c r="AS54" s="8"/>
      <c r="AT54" s="7"/>
      <c r="AU54" s="8"/>
      <c r="AV54" s="8"/>
      <c r="AW54" s="7"/>
      <c r="AX54" s="8"/>
      <c r="AY54" s="8"/>
      <c r="AZ54" s="7"/>
      <c r="BA54" s="8"/>
      <c r="BB54" s="8"/>
      <c r="BC54" s="7"/>
    </row>
    <row r="55" spans="1:55">
      <c r="A55" s="37">
        <v>8</v>
      </c>
      <c r="B55" s="10" t="s">
        <v>237</v>
      </c>
      <c r="C55" s="7">
        <v>1</v>
      </c>
      <c r="D55" s="8" t="s">
        <v>55</v>
      </c>
      <c r="E55" s="9" t="s">
        <v>79</v>
      </c>
      <c r="F55" s="13"/>
      <c r="G55" s="8" t="s">
        <v>61</v>
      </c>
      <c r="H55" s="7"/>
      <c r="I55" s="7"/>
      <c r="J55" s="7" t="s">
        <v>0</v>
      </c>
      <c r="K55" s="8"/>
      <c r="L55" s="7">
        <v>1</v>
      </c>
      <c r="M55" s="7"/>
      <c r="N55" s="8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8"/>
      <c r="AA55" s="8"/>
      <c r="AB55" s="7"/>
      <c r="AC55" s="8"/>
      <c r="AD55" s="8"/>
      <c r="AE55" s="7"/>
      <c r="AF55" s="8"/>
      <c r="AG55" s="8"/>
      <c r="AH55" s="7"/>
      <c r="AI55" s="8"/>
      <c r="AJ55" s="8"/>
      <c r="AK55" s="7"/>
      <c r="AL55" s="8"/>
      <c r="AM55" s="8"/>
      <c r="AN55" s="7"/>
      <c r="AO55" s="8"/>
      <c r="AP55" s="8"/>
      <c r="AQ55" s="7"/>
      <c r="AR55" s="8"/>
      <c r="AS55" s="8"/>
      <c r="AT55" s="7"/>
      <c r="AU55" s="8"/>
      <c r="AV55" s="8"/>
      <c r="AW55" s="7"/>
      <c r="AX55" s="8"/>
      <c r="AY55" s="8"/>
      <c r="AZ55" s="7"/>
      <c r="BA55" s="8"/>
      <c r="BB55" s="8"/>
      <c r="BC55" s="7"/>
    </row>
    <row r="56" spans="1:55">
      <c r="A56" s="14"/>
      <c r="B56" s="10" t="s">
        <v>257</v>
      </c>
      <c r="C56" s="7">
        <f t="shared" ref="C56:C67" si="3">C55+1</f>
        <v>2</v>
      </c>
      <c r="D56" s="8" t="s">
        <v>230</v>
      </c>
      <c r="E56" s="8" t="s">
        <v>231</v>
      </c>
      <c r="F56" s="13"/>
      <c r="G56" s="8" t="s">
        <v>63</v>
      </c>
      <c r="H56" s="7"/>
      <c r="I56" s="7"/>
      <c r="J56" s="7" t="s">
        <v>0</v>
      </c>
      <c r="K56" s="8"/>
      <c r="L56" s="7"/>
      <c r="M56" s="7">
        <v>1</v>
      </c>
      <c r="N56" s="8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8"/>
      <c r="AA56" s="8"/>
      <c r="AB56" s="7"/>
      <c r="AC56" s="8"/>
      <c r="AD56" s="8"/>
      <c r="AE56" s="7"/>
      <c r="AF56" s="8"/>
      <c r="AG56" s="8"/>
      <c r="AH56" s="7"/>
      <c r="AI56" s="8"/>
      <c r="AJ56" s="8"/>
      <c r="AK56" s="7"/>
      <c r="AL56" s="8"/>
      <c r="AM56" s="8"/>
      <c r="AN56" s="7"/>
      <c r="AO56" s="8"/>
      <c r="AP56" s="8"/>
      <c r="AQ56" s="7"/>
      <c r="AR56" s="8"/>
      <c r="AS56" s="8"/>
      <c r="AT56" s="7"/>
      <c r="AU56" s="8"/>
      <c r="AV56" s="8"/>
      <c r="AW56" s="7"/>
      <c r="AX56" s="8"/>
      <c r="AY56" s="8"/>
      <c r="AZ56" s="7"/>
      <c r="BA56" s="8"/>
      <c r="BB56" s="8"/>
      <c r="BC56" s="7"/>
    </row>
    <row r="57" spans="1:55">
      <c r="A57" s="14"/>
      <c r="B57" s="10"/>
      <c r="C57" s="7">
        <f t="shared" si="3"/>
        <v>3</v>
      </c>
      <c r="D57" s="8" t="s">
        <v>238</v>
      </c>
      <c r="E57" s="8" t="s">
        <v>239</v>
      </c>
      <c r="F57" s="13" t="s">
        <v>526</v>
      </c>
      <c r="G57" s="8" t="s">
        <v>49</v>
      </c>
      <c r="H57" s="7">
        <v>1</v>
      </c>
      <c r="I57" s="7"/>
      <c r="J57" s="7" t="s">
        <v>0</v>
      </c>
      <c r="K57" s="8"/>
      <c r="L57" s="7"/>
      <c r="M57" s="7">
        <v>2</v>
      </c>
      <c r="N57" s="8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8"/>
      <c r="AA57" s="8"/>
      <c r="AB57" s="7"/>
      <c r="AC57" s="8"/>
      <c r="AD57" s="8"/>
      <c r="AE57" s="7"/>
      <c r="AF57" s="8"/>
      <c r="AG57" s="8"/>
      <c r="AH57" s="7"/>
      <c r="AI57" s="8"/>
      <c r="AJ57" s="8"/>
      <c r="AK57" s="7"/>
      <c r="AL57" s="8"/>
      <c r="AM57" s="8"/>
      <c r="AN57" s="7"/>
      <c r="AO57" s="8"/>
      <c r="AP57" s="8"/>
      <c r="AQ57" s="7"/>
      <c r="AR57" s="8"/>
      <c r="AS57" s="8"/>
      <c r="AT57" s="7"/>
      <c r="AU57" s="8"/>
      <c r="AV57" s="8"/>
      <c r="AW57" s="7"/>
      <c r="AX57" s="8"/>
      <c r="AY57" s="8"/>
      <c r="AZ57" s="7"/>
      <c r="BA57" s="8"/>
      <c r="BB57" s="8"/>
      <c r="BC57" s="7"/>
    </row>
    <row r="58" spans="1:55">
      <c r="A58" s="14"/>
      <c r="B58" s="10"/>
      <c r="C58" s="7">
        <f t="shared" si="3"/>
        <v>4</v>
      </c>
      <c r="D58" s="8" t="s">
        <v>240</v>
      </c>
      <c r="E58" s="8" t="s">
        <v>248</v>
      </c>
      <c r="F58" s="13"/>
      <c r="G58" s="8" t="s">
        <v>56</v>
      </c>
      <c r="H58" s="7">
        <v>5</v>
      </c>
      <c r="I58" s="7">
        <v>1</v>
      </c>
      <c r="J58" s="7"/>
      <c r="K58" s="8"/>
      <c r="L58" s="7"/>
      <c r="M58" s="7"/>
      <c r="N58" s="8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8"/>
      <c r="AA58" s="8"/>
      <c r="AB58" s="7"/>
      <c r="AC58" s="8"/>
      <c r="AD58" s="8"/>
      <c r="AE58" s="7"/>
      <c r="AF58" s="8"/>
      <c r="AG58" s="8"/>
      <c r="AH58" s="7"/>
      <c r="AI58" s="8"/>
      <c r="AJ58" s="8"/>
      <c r="AK58" s="7"/>
      <c r="AL58" s="8"/>
      <c r="AM58" s="8"/>
      <c r="AN58" s="7"/>
      <c r="AO58" s="8"/>
      <c r="AP58" s="8"/>
      <c r="AQ58" s="7"/>
      <c r="AR58" s="8"/>
      <c r="AS58" s="8"/>
      <c r="AT58" s="7"/>
      <c r="AU58" s="8"/>
      <c r="AV58" s="8"/>
      <c r="AW58" s="7"/>
      <c r="AX58" s="8"/>
      <c r="AY58" s="8"/>
      <c r="AZ58" s="7"/>
      <c r="BA58" s="8"/>
      <c r="BB58" s="8"/>
      <c r="BC58" s="7"/>
    </row>
    <row r="59" spans="1:55">
      <c r="A59" s="14"/>
      <c r="B59" s="10"/>
      <c r="C59" s="7">
        <f t="shared" si="3"/>
        <v>5</v>
      </c>
      <c r="D59" s="8" t="s">
        <v>242</v>
      </c>
      <c r="E59" s="8" t="s">
        <v>253</v>
      </c>
      <c r="F59" s="13"/>
      <c r="G59" s="8" t="s">
        <v>56</v>
      </c>
      <c r="H59" s="7">
        <v>5</v>
      </c>
      <c r="I59" s="7">
        <v>1</v>
      </c>
      <c r="J59" s="7"/>
      <c r="K59" s="8"/>
      <c r="L59" s="7"/>
      <c r="M59" s="7"/>
      <c r="N59" s="8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8"/>
      <c r="AA59" s="8"/>
      <c r="AB59" s="7"/>
      <c r="AC59" s="8"/>
      <c r="AD59" s="8"/>
      <c r="AE59" s="7"/>
      <c r="AF59" s="8"/>
      <c r="AG59" s="8"/>
      <c r="AH59" s="7"/>
      <c r="AI59" s="8"/>
      <c r="AJ59" s="8"/>
      <c r="AK59" s="7"/>
      <c r="AL59" s="8"/>
      <c r="AM59" s="8"/>
      <c r="AN59" s="7"/>
      <c r="AO59" s="8"/>
      <c r="AP59" s="8"/>
      <c r="AQ59" s="7"/>
      <c r="AR59" s="8"/>
      <c r="AS59" s="8"/>
      <c r="AT59" s="7"/>
      <c r="AU59" s="8"/>
      <c r="AV59" s="8"/>
      <c r="AW59" s="7"/>
      <c r="AX59" s="8"/>
      <c r="AY59" s="8"/>
      <c r="AZ59" s="7"/>
      <c r="BA59" s="8"/>
      <c r="BB59" s="8"/>
      <c r="BC59" s="7"/>
    </row>
    <row r="60" spans="1:55">
      <c r="A60" s="14"/>
      <c r="B60" s="10"/>
      <c r="C60" s="7">
        <f t="shared" si="3"/>
        <v>6</v>
      </c>
      <c r="D60" s="8" t="s">
        <v>243</v>
      </c>
      <c r="E60" s="8" t="s">
        <v>249</v>
      </c>
      <c r="F60" s="13"/>
      <c r="G60" s="8" t="s">
        <v>56</v>
      </c>
      <c r="H60" s="7">
        <v>5</v>
      </c>
      <c r="I60" s="7">
        <v>1</v>
      </c>
      <c r="J60" s="7"/>
      <c r="K60" s="8"/>
      <c r="L60" s="7"/>
      <c r="M60" s="7"/>
      <c r="N60" s="8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8"/>
      <c r="AA60" s="8"/>
      <c r="AB60" s="7"/>
      <c r="AC60" s="8"/>
      <c r="AD60" s="8"/>
      <c r="AE60" s="7"/>
      <c r="AF60" s="8"/>
      <c r="AG60" s="8"/>
      <c r="AH60" s="7"/>
      <c r="AI60" s="8"/>
      <c r="AJ60" s="8"/>
      <c r="AK60" s="7"/>
      <c r="AL60" s="8"/>
      <c r="AM60" s="8"/>
      <c r="AN60" s="7"/>
      <c r="AO60" s="8"/>
      <c r="AP60" s="8"/>
      <c r="AQ60" s="7"/>
      <c r="AR60" s="8"/>
      <c r="AS60" s="8"/>
      <c r="AT60" s="7"/>
      <c r="AU60" s="8"/>
      <c r="AV60" s="8"/>
      <c r="AW60" s="7"/>
      <c r="AX60" s="8"/>
      <c r="AY60" s="8"/>
      <c r="AZ60" s="7"/>
      <c r="BA60" s="8"/>
      <c r="BB60" s="8"/>
      <c r="BC60" s="7"/>
    </row>
    <row r="61" spans="1:55">
      <c r="A61" s="14"/>
      <c r="B61" s="10"/>
      <c r="C61" s="7">
        <f t="shared" si="3"/>
        <v>7</v>
      </c>
      <c r="D61" s="8" t="s">
        <v>241</v>
      </c>
      <c r="E61" s="8" t="s">
        <v>254</v>
      </c>
      <c r="F61" s="13"/>
      <c r="G61" s="8" t="s">
        <v>56</v>
      </c>
      <c r="H61" s="7">
        <v>5</v>
      </c>
      <c r="I61" s="7">
        <v>1</v>
      </c>
      <c r="J61" s="7"/>
      <c r="K61" s="8"/>
      <c r="L61" s="7"/>
      <c r="M61" s="7"/>
      <c r="N61" s="8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8"/>
      <c r="AA61" s="8"/>
      <c r="AB61" s="7"/>
      <c r="AC61" s="8"/>
      <c r="AD61" s="8"/>
      <c r="AE61" s="7"/>
      <c r="AF61" s="8"/>
      <c r="AG61" s="8"/>
      <c r="AH61" s="7"/>
      <c r="AI61" s="8"/>
      <c r="AJ61" s="8"/>
      <c r="AK61" s="7"/>
      <c r="AL61" s="8"/>
      <c r="AM61" s="8"/>
      <c r="AN61" s="7"/>
      <c r="AO61" s="8"/>
      <c r="AP61" s="8"/>
      <c r="AQ61" s="7"/>
      <c r="AR61" s="8"/>
      <c r="AS61" s="8"/>
      <c r="AT61" s="7"/>
      <c r="AU61" s="8"/>
      <c r="AV61" s="8"/>
      <c r="AW61" s="7"/>
      <c r="AX61" s="8"/>
      <c r="AY61" s="8"/>
      <c r="AZ61" s="7"/>
      <c r="BA61" s="8"/>
      <c r="BB61" s="8"/>
      <c r="BC61" s="7"/>
    </row>
    <row r="62" spans="1:55">
      <c r="A62" s="14"/>
      <c r="B62" s="10"/>
      <c r="C62" s="7">
        <f t="shared" si="3"/>
        <v>8</v>
      </c>
      <c r="D62" s="8" t="s">
        <v>244</v>
      </c>
      <c r="E62" s="8" t="s">
        <v>250</v>
      </c>
      <c r="F62" s="13"/>
      <c r="G62" s="8" t="s">
        <v>56</v>
      </c>
      <c r="H62" s="7">
        <v>5</v>
      </c>
      <c r="I62" s="7">
        <v>1</v>
      </c>
      <c r="J62" s="7"/>
      <c r="K62" s="8"/>
      <c r="L62" s="7"/>
      <c r="M62" s="7"/>
      <c r="N62" s="8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8"/>
      <c r="AA62" s="8"/>
      <c r="AB62" s="7"/>
      <c r="AC62" s="8"/>
      <c r="AD62" s="8"/>
      <c r="AE62" s="7"/>
      <c r="AF62" s="8"/>
      <c r="AG62" s="8"/>
      <c r="AH62" s="7"/>
      <c r="AI62" s="8"/>
      <c r="AJ62" s="8"/>
      <c r="AK62" s="7"/>
      <c r="AL62" s="8"/>
      <c r="AM62" s="8"/>
      <c r="AN62" s="7"/>
      <c r="AO62" s="8"/>
      <c r="AP62" s="8"/>
      <c r="AQ62" s="7"/>
      <c r="AR62" s="8"/>
      <c r="AS62" s="8"/>
      <c r="AT62" s="7"/>
      <c r="AU62" s="8"/>
      <c r="AV62" s="8"/>
      <c r="AW62" s="7"/>
      <c r="AX62" s="8"/>
      <c r="AY62" s="8"/>
      <c r="AZ62" s="7"/>
      <c r="BA62" s="8"/>
      <c r="BB62" s="8"/>
      <c r="BC62" s="7"/>
    </row>
    <row r="63" spans="1:55">
      <c r="A63" s="14"/>
      <c r="B63" s="10"/>
      <c r="C63" s="7">
        <f t="shared" si="3"/>
        <v>9</v>
      </c>
      <c r="D63" s="8" t="s">
        <v>245</v>
      </c>
      <c r="E63" s="8" t="s">
        <v>255</v>
      </c>
      <c r="F63" s="13"/>
      <c r="G63" s="8" t="s">
        <v>56</v>
      </c>
      <c r="H63" s="7">
        <v>5</v>
      </c>
      <c r="I63" s="7">
        <v>1</v>
      </c>
      <c r="J63" s="7"/>
      <c r="K63" s="8"/>
      <c r="L63" s="7"/>
      <c r="M63" s="7"/>
      <c r="N63" s="8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8"/>
      <c r="AA63" s="8"/>
      <c r="AB63" s="7"/>
      <c r="AC63" s="8"/>
      <c r="AD63" s="8"/>
      <c r="AE63" s="7"/>
      <c r="AF63" s="8"/>
      <c r="AG63" s="8"/>
      <c r="AH63" s="7"/>
      <c r="AI63" s="8"/>
      <c r="AJ63" s="8"/>
      <c r="AK63" s="7"/>
      <c r="AL63" s="8"/>
      <c r="AM63" s="8"/>
      <c r="AN63" s="7"/>
      <c r="AO63" s="8"/>
      <c r="AP63" s="8"/>
      <c r="AQ63" s="7"/>
      <c r="AR63" s="8"/>
      <c r="AS63" s="8"/>
      <c r="AT63" s="7"/>
      <c r="AU63" s="8"/>
      <c r="AV63" s="8"/>
      <c r="AW63" s="7"/>
      <c r="AX63" s="8"/>
      <c r="AY63" s="8"/>
      <c r="AZ63" s="7"/>
      <c r="BA63" s="8"/>
      <c r="BB63" s="8"/>
      <c r="BC63" s="7"/>
    </row>
    <row r="64" spans="1:55">
      <c r="A64" s="14"/>
      <c r="B64" s="10"/>
      <c r="C64" s="7">
        <f t="shared" si="3"/>
        <v>10</v>
      </c>
      <c r="D64" s="8" t="s">
        <v>246</v>
      </c>
      <c r="E64" s="8" t="s">
        <v>251</v>
      </c>
      <c r="F64" s="13"/>
      <c r="G64" s="8" t="s">
        <v>56</v>
      </c>
      <c r="H64" s="7">
        <v>5</v>
      </c>
      <c r="I64" s="7">
        <v>1</v>
      </c>
      <c r="J64" s="7"/>
      <c r="K64" s="8"/>
      <c r="L64" s="7"/>
      <c r="M64" s="7"/>
      <c r="N64" s="8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8"/>
      <c r="AA64" s="8"/>
      <c r="AB64" s="7"/>
      <c r="AC64" s="8"/>
      <c r="AD64" s="8"/>
      <c r="AE64" s="7"/>
      <c r="AF64" s="8"/>
      <c r="AG64" s="8"/>
      <c r="AH64" s="7"/>
      <c r="AI64" s="8"/>
      <c r="AJ64" s="8"/>
      <c r="AK64" s="7"/>
      <c r="AL64" s="8"/>
      <c r="AM64" s="8"/>
      <c r="AN64" s="7"/>
      <c r="AO64" s="8"/>
      <c r="AP64" s="8"/>
      <c r="AQ64" s="7"/>
      <c r="AR64" s="8"/>
      <c r="AS64" s="8"/>
      <c r="AT64" s="7"/>
      <c r="AU64" s="8"/>
      <c r="AV64" s="8"/>
      <c r="AW64" s="7"/>
      <c r="AX64" s="8"/>
      <c r="AY64" s="8"/>
      <c r="AZ64" s="7"/>
      <c r="BA64" s="8"/>
      <c r="BB64" s="8"/>
      <c r="BC64" s="7"/>
    </row>
    <row r="65" spans="1:55">
      <c r="A65" s="14"/>
      <c r="B65" s="10"/>
      <c r="C65" s="7">
        <f t="shared" si="3"/>
        <v>11</v>
      </c>
      <c r="D65" s="8" t="s">
        <v>558</v>
      </c>
      <c r="E65" s="8" t="s">
        <v>278</v>
      </c>
      <c r="F65" s="13"/>
      <c r="G65" s="8" t="s">
        <v>56</v>
      </c>
      <c r="H65" s="7">
        <v>5</v>
      </c>
      <c r="I65" s="7">
        <v>1</v>
      </c>
      <c r="J65" s="7"/>
      <c r="K65" s="8"/>
      <c r="L65" s="7"/>
      <c r="M65" s="7"/>
      <c r="N65" s="8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8"/>
      <c r="AA65" s="8"/>
      <c r="AB65" s="7"/>
      <c r="AC65" s="8"/>
      <c r="AD65" s="8"/>
      <c r="AE65" s="7"/>
      <c r="AF65" s="8"/>
      <c r="AG65" s="8"/>
      <c r="AH65" s="7"/>
      <c r="AI65" s="8"/>
      <c r="AJ65" s="8"/>
      <c r="AK65" s="7"/>
      <c r="AL65" s="8"/>
      <c r="AM65" s="8"/>
      <c r="AN65" s="7"/>
      <c r="AO65" s="8"/>
      <c r="AP65" s="8"/>
      <c r="AQ65" s="7"/>
      <c r="AR65" s="8"/>
      <c r="AS65" s="8"/>
      <c r="AT65" s="7"/>
      <c r="AU65" s="8"/>
      <c r="AV65" s="8"/>
      <c r="AW65" s="7"/>
      <c r="AX65" s="8"/>
      <c r="AY65" s="8"/>
      <c r="AZ65" s="7"/>
      <c r="BA65" s="8"/>
      <c r="BB65" s="8"/>
      <c r="BC65" s="7"/>
    </row>
    <row r="66" spans="1:55">
      <c r="A66" s="14"/>
      <c r="B66" s="10"/>
      <c r="C66" s="7">
        <f t="shared" si="3"/>
        <v>12</v>
      </c>
      <c r="D66" s="8" t="s">
        <v>247</v>
      </c>
      <c r="E66" s="8" t="s">
        <v>252</v>
      </c>
      <c r="F66" s="13"/>
      <c r="G66" s="8" t="s">
        <v>56</v>
      </c>
      <c r="H66" s="7">
        <v>5</v>
      </c>
      <c r="I66" s="7">
        <v>1</v>
      </c>
      <c r="J66" s="7"/>
      <c r="K66" s="8"/>
      <c r="L66" s="7"/>
      <c r="M66" s="7"/>
      <c r="N66" s="8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8"/>
      <c r="AA66" s="8"/>
      <c r="AB66" s="7"/>
      <c r="AC66" s="8"/>
      <c r="AD66" s="8"/>
      <c r="AE66" s="7"/>
      <c r="AF66" s="8"/>
      <c r="AG66" s="8"/>
      <c r="AH66" s="7"/>
      <c r="AI66" s="8"/>
      <c r="AJ66" s="8"/>
      <c r="AK66" s="7"/>
      <c r="AL66" s="8"/>
      <c r="AM66" s="8"/>
      <c r="AN66" s="7"/>
      <c r="AO66" s="8"/>
      <c r="AP66" s="8"/>
      <c r="AQ66" s="7"/>
      <c r="AR66" s="8"/>
      <c r="AS66" s="8"/>
      <c r="AT66" s="7"/>
      <c r="AU66" s="8"/>
      <c r="AV66" s="8"/>
      <c r="AW66" s="7"/>
      <c r="AX66" s="8"/>
      <c r="AY66" s="8"/>
      <c r="AZ66" s="7"/>
      <c r="BA66" s="8"/>
      <c r="BB66" s="8"/>
      <c r="BC66" s="7"/>
    </row>
    <row r="67" spans="1:55">
      <c r="A67" s="14"/>
      <c r="B67" s="10"/>
      <c r="C67" s="7">
        <f t="shared" si="3"/>
        <v>13</v>
      </c>
      <c r="D67" s="8" t="s">
        <v>481</v>
      </c>
      <c r="E67" s="8" t="s">
        <v>256</v>
      </c>
      <c r="F67" s="13"/>
      <c r="G67" s="8" t="s">
        <v>56</v>
      </c>
      <c r="H67" s="7">
        <v>5</v>
      </c>
      <c r="I67" s="7">
        <v>1</v>
      </c>
      <c r="J67" s="7"/>
      <c r="K67" s="8"/>
      <c r="L67" s="7"/>
      <c r="M67" s="7"/>
      <c r="N67" s="8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8"/>
      <c r="AA67" s="8"/>
      <c r="AB67" s="7"/>
      <c r="AC67" s="8"/>
      <c r="AD67" s="8"/>
      <c r="AE67" s="7"/>
      <c r="AF67" s="8"/>
      <c r="AG67" s="8"/>
      <c r="AH67" s="7"/>
      <c r="AI67" s="8"/>
      <c r="AJ67" s="8"/>
      <c r="AK67" s="7"/>
      <c r="AL67" s="8"/>
      <c r="AM67" s="8"/>
      <c r="AN67" s="7"/>
      <c r="AO67" s="8"/>
      <c r="AP67" s="8"/>
      <c r="AQ67" s="7"/>
      <c r="AR67" s="8"/>
      <c r="AS67" s="8"/>
      <c r="AT67" s="7"/>
      <c r="AU67" s="8"/>
      <c r="AV67" s="8"/>
      <c r="AW67" s="7"/>
      <c r="AX67" s="8"/>
      <c r="AY67" s="8"/>
      <c r="AZ67" s="7"/>
      <c r="BA67" s="8"/>
      <c r="BB67" s="8"/>
      <c r="BC67" s="7"/>
    </row>
    <row r="68" spans="1:55">
      <c r="A68" s="37">
        <v>9</v>
      </c>
      <c r="B68" s="10" t="s">
        <v>232</v>
      </c>
      <c r="C68" s="7">
        <v>1</v>
      </c>
      <c r="D68" s="8" t="s">
        <v>78</v>
      </c>
      <c r="E68" s="9" t="s">
        <v>79</v>
      </c>
      <c r="F68" s="13"/>
      <c r="G68" s="8" t="s">
        <v>61</v>
      </c>
      <c r="H68" s="7"/>
      <c r="I68" s="7"/>
      <c r="J68" s="7" t="s">
        <v>0</v>
      </c>
      <c r="K68" s="8"/>
      <c r="L68" s="7">
        <v>1</v>
      </c>
      <c r="M68" s="7"/>
      <c r="N68" s="8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8"/>
      <c r="AA68" s="8"/>
      <c r="AB68" s="7"/>
      <c r="AC68" s="8"/>
      <c r="AD68" s="8"/>
      <c r="AE68" s="7"/>
      <c r="AF68" s="8"/>
      <c r="AG68" s="8"/>
      <c r="AH68" s="7"/>
      <c r="AI68" s="8"/>
      <c r="AJ68" s="8"/>
      <c r="AK68" s="7"/>
      <c r="AL68" s="8"/>
      <c r="AM68" s="8"/>
      <c r="AN68" s="7"/>
      <c r="AO68" s="8"/>
      <c r="AP68" s="8"/>
      <c r="AQ68" s="7"/>
      <c r="AR68" s="8"/>
      <c r="AS68" s="8"/>
      <c r="AT68" s="7"/>
      <c r="AU68" s="8"/>
      <c r="AV68" s="8"/>
      <c r="AW68" s="7"/>
      <c r="AX68" s="8"/>
      <c r="AY68" s="8"/>
      <c r="AZ68" s="7"/>
      <c r="BA68" s="8"/>
      <c r="BB68" s="8"/>
      <c r="BC68" s="7"/>
    </row>
    <row r="69" spans="1:55">
      <c r="A69" s="14"/>
      <c r="B69" s="10" t="s">
        <v>131</v>
      </c>
      <c r="C69" s="7">
        <f>C68+1</f>
        <v>2</v>
      </c>
      <c r="D69" s="32" t="s">
        <v>143</v>
      </c>
      <c r="E69" s="8" t="s">
        <v>140</v>
      </c>
      <c r="F69" s="13"/>
      <c r="G69" s="8" t="s">
        <v>63</v>
      </c>
      <c r="H69" s="7"/>
      <c r="I69" s="7"/>
      <c r="J69" s="7" t="s">
        <v>0</v>
      </c>
      <c r="K69" s="8"/>
      <c r="L69" s="7"/>
      <c r="M69" s="7">
        <v>1</v>
      </c>
      <c r="N69" s="8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32" t="s">
        <v>228</v>
      </c>
      <c r="AA69" s="32" t="s">
        <v>227</v>
      </c>
      <c r="AB69" s="35" t="s">
        <v>0</v>
      </c>
      <c r="AC69" s="8"/>
      <c r="AD69" s="8"/>
      <c r="AE69" s="7"/>
      <c r="AF69" s="8"/>
      <c r="AG69" s="8"/>
      <c r="AH69" s="7"/>
      <c r="AI69" s="8"/>
      <c r="AJ69" s="8"/>
      <c r="AK69" s="7"/>
      <c r="AL69" s="8"/>
      <c r="AM69" s="8"/>
      <c r="AN69" s="7"/>
      <c r="AO69" s="8"/>
      <c r="AP69" s="8"/>
      <c r="AQ69" s="7"/>
      <c r="AR69" s="8"/>
      <c r="AS69" s="8"/>
      <c r="AT69" s="7"/>
      <c r="AU69" s="8"/>
      <c r="AV69" s="8"/>
      <c r="AW69" s="7"/>
      <c r="AX69" s="8"/>
      <c r="AY69" s="8"/>
      <c r="AZ69" s="7"/>
      <c r="BA69" s="8"/>
      <c r="BB69" s="8"/>
      <c r="BC69" s="7"/>
    </row>
    <row r="70" spans="1:55">
      <c r="A70" s="14"/>
      <c r="B70" s="10"/>
      <c r="C70" s="7">
        <f>C69+1</f>
        <v>3</v>
      </c>
      <c r="D70" s="8" t="s">
        <v>238</v>
      </c>
      <c r="E70" s="8" t="s">
        <v>239</v>
      </c>
      <c r="F70" s="13" t="s">
        <v>526</v>
      </c>
      <c r="G70" s="8" t="s">
        <v>49</v>
      </c>
      <c r="H70" s="7">
        <v>1</v>
      </c>
      <c r="I70" s="7"/>
      <c r="J70" s="7" t="s">
        <v>0</v>
      </c>
      <c r="K70" s="8"/>
      <c r="L70" s="7"/>
      <c r="M70" s="7">
        <v>2</v>
      </c>
      <c r="N70" s="8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8"/>
      <c r="AA70" s="8"/>
      <c r="AB70" s="7"/>
      <c r="AC70" s="8"/>
      <c r="AD70" s="8"/>
      <c r="AE70" s="7"/>
      <c r="AF70" s="8"/>
      <c r="AG70" s="8"/>
      <c r="AH70" s="7"/>
      <c r="AI70" s="8"/>
      <c r="AJ70" s="8"/>
      <c r="AK70" s="7"/>
      <c r="AL70" s="8"/>
      <c r="AM70" s="8"/>
      <c r="AN70" s="7"/>
      <c r="AO70" s="8"/>
      <c r="AP70" s="8"/>
      <c r="AQ70" s="7"/>
      <c r="AR70" s="8"/>
      <c r="AS70" s="8"/>
      <c r="AT70" s="7"/>
      <c r="AU70" s="8"/>
      <c r="AV70" s="8"/>
      <c r="AW70" s="7"/>
      <c r="AX70" s="8"/>
      <c r="AY70" s="8"/>
      <c r="AZ70" s="7"/>
      <c r="BA70" s="8"/>
      <c r="BB70" s="8"/>
      <c r="BC70" s="7"/>
    </row>
    <row r="71" spans="1:55">
      <c r="A71" s="14"/>
      <c r="B71" s="10"/>
      <c r="C71" s="7">
        <f>C70+1</f>
        <v>4</v>
      </c>
      <c r="D71" s="8" t="s">
        <v>258</v>
      </c>
      <c r="E71" s="8" t="s">
        <v>260</v>
      </c>
      <c r="F71" s="13"/>
      <c r="G71" s="8" t="s">
        <v>56</v>
      </c>
      <c r="H71" s="7"/>
      <c r="I71" s="7"/>
      <c r="J71" s="7"/>
      <c r="K71" s="8"/>
      <c r="L71" s="7"/>
      <c r="M71" s="7"/>
      <c r="N71" s="8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8"/>
      <c r="AA71" s="8"/>
      <c r="AB71" s="7"/>
      <c r="AC71" s="8"/>
      <c r="AD71" s="8"/>
      <c r="AE71" s="7"/>
      <c r="AF71" s="8"/>
      <c r="AG71" s="8"/>
      <c r="AH71" s="7"/>
      <c r="AI71" s="8"/>
      <c r="AJ71" s="8"/>
      <c r="AK71" s="7"/>
      <c r="AL71" s="8"/>
      <c r="AM71" s="8"/>
      <c r="AN71" s="7"/>
      <c r="AO71" s="8"/>
      <c r="AP71" s="8"/>
      <c r="AQ71" s="7"/>
      <c r="AR71" s="8"/>
      <c r="AS71" s="8"/>
      <c r="AT71" s="7"/>
      <c r="AU71" s="8"/>
      <c r="AV71" s="8"/>
      <c r="AW71" s="7"/>
      <c r="AX71" s="8"/>
      <c r="AY71" s="8"/>
      <c r="AZ71" s="7"/>
      <c r="BA71" s="8"/>
      <c r="BB71" s="8"/>
      <c r="BC71" s="7"/>
    </row>
    <row r="72" spans="1:55">
      <c r="A72" s="14"/>
      <c r="B72" s="10"/>
      <c r="C72" s="7">
        <f>C71+1</f>
        <v>5</v>
      </c>
      <c r="D72" s="8" t="s">
        <v>259</v>
      </c>
      <c r="E72" s="8" t="s">
        <v>261</v>
      </c>
      <c r="F72" s="13"/>
      <c r="G72" s="8" t="s">
        <v>56</v>
      </c>
      <c r="H72" s="7">
        <v>4</v>
      </c>
      <c r="I72" s="7">
        <v>1</v>
      </c>
      <c r="J72" s="7"/>
      <c r="K72" s="8"/>
      <c r="L72" s="7"/>
      <c r="M72" s="7"/>
      <c r="N72" s="8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8"/>
      <c r="AA72" s="8"/>
      <c r="AB72" s="7"/>
      <c r="AC72" s="8"/>
      <c r="AD72" s="8"/>
      <c r="AE72" s="7"/>
      <c r="AF72" s="8"/>
      <c r="AG72" s="8"/>
      <c r="AH72" s="7"/>
      <c r="AI72" s="8"/>
      <c r="AJ72" s="8"/>
      <c r="AK72" s="7"/>
      <c r="AL72" s="8"/>
      <c r="AM72" s="8"/>
      <c r="AN72" s="7"/>
      <c r="AO72" s="8"/>
      <c r="AP72" s="8"/>
      <c r="AQ72" s="7"/>
      <c r="AR72" s="8"/>
      <c r="AS72" s="8"/>
      <c r="AT72" s="7"/>
      <c r="AU72" s="8"/>
      <c r="AV72" s="8"/>
      <c r="AW72" s="7"/>
      <c r="AX72" s="8"/>
      <c r="AY72" s="8"/>
      <c r="AZ72" s="7"/>
      <c r="BA72" s="8"/>
      <c r="BB72" s="8"/>
      <c r="BC72" s="7"/>
    </row>
    <row r="73" spans="1:55">
      <c r="A73" s="14"/>
      <c r="B73" s="10"/>
      <c r="C73" s="7">
        <f t="shared" ref="C73:C79" si="4">C72+1</f>
        <v>6</v>
      </c>
      <c r="D73" s="8" t="s">
        <v>262</v>
      </c>
      <c r="E73" s="8" t="s">
        <v>263</v>
      </c>
      <c r="F73" s="13"/>
      <c r="G73" s="8" t="s">
        <v>56</v>
      </c>
      <c r="H73" s="7"/>
      <c r="I73" s="7"/>
      <c r="J73" s="7"/>
      <c r="K73" s="8"/>
      <c r="L73" s="7"/>
      <c r="M73" s="7"/>
      <c r="N73" s="8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8"/>
      <c r="AA73" s="8"/>
      <c r="AB73" s="7"/>
      <c r="AC73" s="8"/>
      <c r="AD73" s="8"/>
      <c r="AE73" s="7"/>
      <c r="AF73" s="8"/>
      <c r="AG73" s="8"/>
      <c r="AH73" s="7"/>
      <c r="AI73" s="8"/>
      <c r="AJ73" s="8"/>
      <c r="AK73" s="7"/>
      <c r="AL73" s="8"/>
      <c r="AM73" s="8"/>
      <c r="AN73" s="7"/>
      <c r="AO73" s="8"/>
      <c r="AP73" s="8"/>
      <c r="AQ73" s="7"/>
      <c r="AR73" s="8"/>
      <c r="AS73" s="8"/>
      <c r="AT73" s="7"/>
      <c r="AU73" s="8"/>
      <c r="AV73" s="8"/>
      <c r="AW73" s="7"/>
      <c r="AX73" s="8"/>
      <c r="AY73" s="8"/>
      <c r="AZ73" s="7"/>
      <c r="BA73" s="8"/>
      <c r="BB73" s="8"/>
      <c r="BC73" s="7"/>
    </row>
    <row r="74" spans="1:55">
      <c r="A74" s="14"/>
      <c r="B74" s="10"/>
      <c r="C74" s="7">
        <f>C73+1</f>
        <v>7</v>
      </c>
      <c r="D74" s="8" t="s">
        <v>264</v>
      </c>
      <c r="E74" s="8" t="s">
        <v>265</v>
      </c>
      <c r="F74" s="13"/>
      <c r="G74" s="8" t="s">
        <v>56</v>
      </c>
      <c r="H74" s="7">
        <v>4</v>
      </c>
      <c r="I74" s="7">
        <v>1</v>
      </c>
      <c r="J74" s="7"/>
      <c r="K74" s="8"/>
      <c r="L74" s="7"/>
      <c r="M74" s="7"/>
      <c r="N74" s="8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8"/>
      <c r="AA74" s="8"/>
      <c r="AB74" s="7"/>
      <c r="AC74" s="8"/>
      <c r="AD74" s="8"/>
      <c r="AE74" s="7"/>
      <c r="AF74" s="8"/>
      <c r="AG74" s="8"/>
      <c r="AH74" s="7"/>
      <c r="AI74" s="8"/>
      <c r="AJ74" s="8"/>
      <c r="AK74" s="7"/>
      <c r="AL74" s="8"/>
      <c r="AM74" s="8"/>
      <c r="AN74" s="7"/>
      <c r="AO74" s="8"/>
      <c r="AP74" s="8"/>
      <c r="AQ74" s="7"/>
      <c r="AR74" s="8"/>
      <c r="AS74" s="8"/>
      <c r="AT74" s="7"/>
      <c r="AU74" s="8"/>
      <c r="AV74" s="8"/>
      <c r="AW74" s="7"/>
      <c r="AX74" s="8"/>
      <c r="AY74" s="8"/>
      <c r="AZ74" s="7"/>
      <c r="BA74" s="8"/>
      <c r="BB74" s="8"/>
      <c r="BC74" s="7"/>
    </row>
    <row r="75" spans="1:55">
      <c r="A75" s="14"/>
      <c r="B75" s="10"/>
      <c r="C75" s="7">
        <f t="shared" si="4"/>
        <v>8</v>
      </c>
      <c r="D75" s="8" t="s">
        <v>266</v>
      </c>
      <c r="E75" s="8" t="s">
        <v>267</v>
      </c>
      <c r="F75" s="13"/>
      <c r="G75" s="8" t="s">
        <v>56</v>
      </c>
      <c r="H75" s="7"/>
      <c r="I75" s="7"/>
      <c r="J75" s="7"/>
      <c r="K75" s="8"/>
      <c r="L75" s="7"/>
      <c r="M75" s="7"/>
      <c r="N75" s="8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8"/>
      <c r="AA75" s="8"/>
      <c r="AB75" s="7"/>
      <c r="AC75" s="8"/>
      <c r="AD75" s="8"/>
      <c r="AE75" s="7"/>
      <c r="AF75" s="8"/>
      <c r="AG75" s="8"/>
      <c r="AH75" s="7"/>
      <c r="AI75" s="8"/>
      <c r="AJ75" s="8"/>
      <c r="AK75" s="7"/>
      <c r="AL75" s="8"/>
      <c r="AM75" s="8"/>
      <c r="AN75" s="7"/>
      <c r="AO75" s="8"/>
      <c r="AP75" s="8"/>
      <c r="AQ75" s="7"/>
      <c r="AR75" s="8"/>
      <c r="AS75" s="8"/>
      <c r="AT75" s="7"/>
      <c r="AU75" s="8"/>
      <c r="AV75" s="8"/>
      <c r="AW75" s="7"/>
      <c r="AX75" s="8"/>
      <c r="AY75" s="8"/>
      <c r="AZ75" s="7"/>
      <c r="BA75" s="8"/>
      <c r="BB75" s="8"/>
      <c r="BC75" s="7"/>
    </row>
    <row r="76" spans="1:55">
      <c r="A76" s="14"/>
      <c r="B76" s="10"/>
      <c r="C76" s="7">
        <f>C75+1</f>
        <v>9</v>
      </c>
      <c r="D76" s="8" t="s">
        <v>268</v>
      </c>
      <c r="E76" s="8" t="s">
        <v>269</v>
      </c>
      <c r="F76" s="13"/>
      <c r="G76" s="8" t="s">
        <v>56</v>
      </c>
      <c r="H76" s="7">
        <v>4</v>
      </c>
      <c r="I76" s="7">
        <v>1</v>
      </c>
      <c r="J76" s="7"/>
      <c r="K76" s="8"/>
      <c r="L76" s="7"/>
      <c r="M76" s="7"/>
      <c r="N76" s="8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8"/>
      <c r="AA76" s="8"/>
      <c r="AB76" s="7"/>
      <c r="AC76" s="8"/>
      <c r="AD76" s="8"/>
      <c r="AE76" s="7"/>
      <c r="AF76" s="8"/>
      <c r="AG76" s="8"/>
      <c r="AH76" s="7"/>
      <c r="AI76" s="8"/>
      <c r="AJ76" s="8"/>
      <c r="AK76" s="7"/>
      <c r="AL76" s="8"/>
      <c r="AM76" s="8"/>
      <c r="AN76" s="7"/>
      <c r="AO76" s="8"/>
      <c r="AP76" s="8"/>
      <c r="AQ76" s="7"/>
      <c r="AR76" s="8"/>
      <c r="AS76" s="8"/>
      <c r="AT76" s="7"/>
      <c r="AU76" s="8"/>
      <c r="AV76" s="8"/>
      <c r="AW76" s="7"/>
      <c r="AX76" s="8"/>
      <c r="AY76" s="8"/>
      <c r="AZ76" s="7"/>
      <c r="BA76" s="8"/>
      <c r="BB76" s="8"/>
      <c r="BC76" s="7"/>
    </row>
    <row r="77" spans="1:55">
      <c r="A77" s="14"/>
      <c r="B77" s="10"/>
      <c r="C77" s="7">
        <f t="shared" si="4"/>
        <v>10</v>
      </c>
      <c r="D77" s="8" t="s">
        <v>270</v>
      </c>
      <c r="E77" s="8" t="s">
        <v>271</v>
      </c>
      <c r="F77" s="13"/>
      <c r="G77" s="8" t="s">
        <v>56</v>
      </c>
      <c r="H77" s="7"/>
      <c r="I77" s="7"/>
      <c r="J77" s="7"/>
      <c r="K77" s="8"/>
      <c r="L77" s="7"/>
      <c r="M77" s="7"/>
      <c r="N77" s="8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8"/>
      <c r="AA77" s="8"/>
      <c r="AB77" s="7"/>
      <c r="AC77" s="8"/>
      <c r="AD77" s="8"/>
      <c r="AE77" s="7"/>
      <c r="AF77" s="8"/>
      <c r="AG77" s="8"/>
      <c r="AH77" s="7"/>
      <c r="AI77" s="8"/>
      <c r="AJ77" s="8"/>
      <c r="AK77" s="7"/>
      <c r="AL77" s="8"/>
      <c r="AM77" s="8"/>
      <c r="AN77" s="7"/>
      <c r="AO77" s="8"/>
      <c r="AP77" s="8"/>
      <c r="AQ77" s="7"/>
      <c r="AR77" s="8"/>
      <c r="AS77" s="8"/>
      <c r="AT77" s="7"/>
      <c r="AU77" s="8"/>
      <c r="AV77" s="8"/>
      <c r="AW77" s="7"/>
      <c r="AX77" s="8"/>
      <c r="AY77" s="8"/>
      <c r="AZ77" s="7"/>
      <c r="BA77" s="8"/>
      <c r="BB77" s="8"/>
      <c r="BC77" s="7"/>
    </row>
    <row r="78" spans="1:55">
      <c r="A78" s="14"/>
      <c r="B78" s="10"/>
      <c r="C78" s="7">
        <f>C77+1</f>
        <v>11</v>
      </c>
      <c r="D78" s="8" t="s">
        <v>272</v>
      </c>
      <c r="E78" s="8" t="s">
        <v>273</v>
      </c>
      <c r="F78" s="13"/>
      <c r="G78" s="8" t="s">
        <v>56</v>
      </c>
      <c r="H78" s="7">
        <v>4</v>
      </c>
      <c r="I78" s="7">
        <v>1</v>
      </c>
      <c r="J78" s="7"/>
      <c r="K78" s="8"/>
      <c r="L78" s="7"/>
      <c r="M78" s="7"/>
      <c r="N78" s="8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8"/>
      <c r="AA78" s="8"/>
      <c r="AB78" s="7"/>
      <c r="AC78" s="8"/>
      <c r="AD78" s="8"/>
      <c r="AE78" s="7"/>
      <c r="AF78" s="8"/>
      <c r="AG78" s="8"/>
      <c r="AH78" s="7"/>
      <c r="AI78" s="8"/>
      <c r="AJ78" s="8"/>
      <c r="AK78" s="7"/>
      <c r="AL78" s="8"/>
      <c r="AM78" s="8"/>
      <c r="AN78" s="7"/>
      <c r="AO78" s="8"/>
      <c r="AP78" s="8"/>
      <c r="AQ78" s="7"/>
      <c r="AR78" s="8"/>
      <c r="AS78" s="8"/>
      <c r="AT78" s="7"/>
      <c r="AU78" s="8"/>
      <c r="AV78" s="8"/>
      <c r="AW78" s="7"/>
      <c r="AX78" s="8"/>
      <c r="AY78" s="8"/>
      <c r="AZ78" s="7"/>
      <c r="BA78" s="8"/>
      <c r="BB78" s="8"/>
      <c r="BC78" s="7"/>
    </row>
    <row r="79" spans="1:55">
      <c r="A79" s="14"/>
      <c r="B79" s="10"/>
      <c r="C79" s="7">
        <f t="shared" si="4"/>
        <v>12</v>
      </c>
      <c r="D79" s="8" t="s">
        <v>274</v>
      </c>
      <c r="E79" s="8" t="s">
        <v>275</v>
      </c>
      <c r="F79" s="13"/>
      <c r="G79" s="8" t="s">
        <v>56</v>
      </c>
      <c r="H79" s="7"/>
      <c r="I79" s="7"/>
      <c r="J79" s="7"/>
      <c r="K79" s="8"/>
      <c r="L79" s="7"/>
      <c r="M79" s="7"/>
      <c r="N79" s="8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8"/>
      <c r="AA79" s="8"/>
      <c r="AB79" s="7"/>
      <c r="AC79" s="8"/>
      <c r="AD79" s="8"/>
      <c r="AE79" s="7"/>
      <c r="AF79" s="8"/>
      <c r="AG79" s="8"/>
      <c r="AH79" s="7"/>
      <c r="AI79" s="8"/>
      <c r="AJ79" s="8"/>
      <c r="AK79" s="7"/>
      <c r="AL79" s="8"/>
      <c r="AM79" s="8"/>
      <c r="AN79" s="7"/>
      <c r="AO79" s="8"/>
      <c r="AP79" s="8"/>
      <c r="AQ79" s="7"/>
      <c r="AR79" s="8"/>
      <c r="AS79" s="8"/>
      <c r="AT79" s="7"/>
      <c r="AU79" s="8"/>
      <c r="AV79" s="8"/>
      <c r="AW79" s="7"/>
      <c r="AX79" s="8"/>
      <c r="AY79" s="8"/>
      <c r="AZ79" s="7"/>
      <c r="BA79" s="8"/>
      <c r="BB79" s="8"/>
      <c r="BC79" s="7"/>
    </row>
    <row r="80" spans="1:55">
      <c r="A80" s="14"/>
      <c r="B80" s="10"/>
      <c r="C80" s="7">
        <f>C79+1</f>
        <v>13</v>
      </c>
      <c r="D80" s="8" t="s">
        <v>276</v>
      </c>
      <c r="E80" s="8" t="s">
        <v>277</v>
      </c>
      <c r="F80" s="13"/>
      <c r="G80" s="8" t="s">
        <v>56</v>
      </c>
      <c r="H80" s="7">
        <v>4</v>
      </c>
      <c r="I80" s="7">
        <v>1</v>
      </c>
      <c r="J80" s="7"/>
      <c r="K80" s="8"/>
      <c r="L80" s="7"/>
      <c r="M80" s="7"/>
      <c r="N80" s="8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8"/>
      <c r="AA80" s="8"/>
      <c r="AB80" s="7"/>
      <c r="AC80" s="8"/>
      <c r="AD80" s="8"/>
      <c r="AE80" s="7"/>
      <c r="AF80" s="8"/>
      <c r="AG80" s="8"/>
      <c r="AH80" s="7"/>
      <c r="AI80" s="8"/>
      <c r="AJ80" s="8"/>
      <c r="AK80" s="7"/>
      <c r="AL80" s="8"/>
      <c r="AM80" s="8"/>
      <c r="AN80" s="7"/>
      <c r="AO80" s="8"/>
      <c r="AP80" s="8"/>
      <c r="AQ80" s="7"/>
      <c r="AR80" s="8"/>
      <c r="AS80" s="8"/>
      <c r="AT80" s="7"/>
      <c r="AU80" s="8"/>
      <c r="AV80" s="8"/>
      <c r="AW80" s="7"/>
      <c r="AX80" s="8"/>
      <c r="AY80" s="8"/>
      <c r="AZ80" s="7"/>
      <c r="BA80" s="8"/>
      <c r="BB80" s="8"/>
      <c r="BC80" s="7"/>
    </row>
    <row r="81" spans="1:55">
      <c r="A81" s="37">
        <v>10</v>
      </c>
      <c r="B81" s="10" t="s">
        <v>82</v>
      </c>
      <c r="C81" s="7">
        <v>1</v>
      </c>
      <c r="D81" s="8" t="s">
        <v>78</v>
      </c>
      <c r="E81" s="9" t="s">
        <v>79</v>
      </c>
      <c r="F81" s="13"/>
      <c r="G81" s="8" t="s">
        <v>61</v>
      </c>
      <c r="H81" s="7"/>
      <c r="I81" s="7"/>
      <c r="J81" s="7" t="s">
        <v>0</v>
      </c>
      <c r="K81" s="8"/>
      <c r="L81" s="7">
        <v>1</v>
      </c>
      <c r="M81" s="7"/>
      <c r="N81" s="8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8"/>
      <c r="AA81" s="8"/>
      <c r="AB81" s="7"/>
      <c r="AC81" s="8"/>
      <c r="AD81" s="8"/>
      <c r="AE81" s="7"/>
      <c r="AF81" s="8"/>
      <c r="AG81" s="8"/>
      <c r="AH81" s="7"/>
      <c r="AI81" s="8"/>
      <c r="AJ81" s="8"/>
      <c r="AK81" s="7"/>
      <c r="AL81" s="8"/>
      <c r="AM81" s="8"/>
      <c r="AN81" s="7"/>
      <c r="AO81" s="8"/>
      <c r="AP81" s="8"/>
      <c r="AQ81" s="7"/>
      <c r="AR81" s="8"/>
      <c r="AS81" s="8"/>
      <c r="AT81" s="7"/>
      <c r="AU81" s="8"/>
      <c r="AV81" s="8"/>
      <c r="AW81" s="7"/>
      <c r="AX81" s="8"/>
      <c r="AY81" s="8"/>
      <c r="AZ81" s="7"/>
      <c r="BA81" s="8"/>
      <c r="BB81" s="8"/>
      <c r="BC81" s="7"/>
    </row>
    <row r="82" spans="1:55">
      <c r="A82" s="14"/>
      <c r="B82" s="10" t="s">
        <v>220</v>
      </c>
      <c r="C82" s="7">
        <f t="shared" ref="C82:C87" si="5">C81+1</f>
        <v>2</v>
      </c>
      <c r="D82" s="32" t="s">
        <v>230</v>
      </c>
      <c r="E82" s="8" t="s">
        <v>231</v>
      </c>
      <c r="F82" s="13"/>
      <c r="G82" s="8" t="s">
        <v>63</v>
      </c>
      <c r="H82" s="7"/>
      <c r="I82" s="7"/>
      <c r="J82" s="7" t="s">
        <v>0</v>
      </c>
      <c r="K82" s="8"/>
      <c r="L82" s="7"/>
      <c r="M82" s="7">
        <v>1</v>
      </c>
      <c r="N82" s="8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8"/>
      <c r="AA82" s="8"/>
      <c r="AB82" s="7"/>
      <c r="AC82" s="8"/>
      <c r="AD82" s="8"/>
      <c r="AE82" s="7"/>
      <c r="AF82" s="8"/>
      <c r="AG82" s="8"/>
      <c r="AH82" s="7"/>
      <c r="AI82" s="8"/>
      <c r="AJ82" s="8"/>
      <c r="AK82" s="7"/>
      <c r="AL82" s="8"/>
      <c r="AM82" s="8"/>
      <c r="AN82" s="7"/>
      <c r="AO82" s="8"/>
      <c r="AP82" s="8"/>
      <c r="AQ82" s="7"/>
      <c r="AR82" s="8"/>
      <c r="AS82" s="8"/>
      <c r="AT82" s="7"/>
      <c r="AU82" s="8"/>
      <c r="AV82" s="8"/>
      <c r="AW82" s="7"/>
      <c r="AX82" s="8"/>
      <c r="AY82" s="8"/>
      <c r="AZ82" s="7"/>
      <c r="BA82" s="8"/>
      <c r="BB82" s="8"/>
      <c r="BC82" s="7"/>
    </row>
    <row r="83" spans="1:55">
      <c r="A83" s="14"/>
      <c r="B83" s="10"/>
      <c r="C83" s="7">
        <f t="shared" si="5"/>
        <v>3</v>
      </c>
      <c r="D83" s="8" t="s">
        <v>427</v>
      </c>
      <c r="E83" s="8" t="s">
        <v>432</v>
      </c>
      <c r="F83" s="13"/>
      <c r="G83" s="8" t="s">
        <v>63</v>
      </c>
      <c r="H83" s="7"/>
      <c r="I83" s="7"/>
      <c r="J83" s="7" t="s">
        <v>0</v>
      </c>
      <c r="K83" s="8"/>
      <c r="L83" s="7"/>
      <c r="M83" s="7">
        <v>2</v>
      </c>
      <c r="N83" s="8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8"/>
      <c r="AA83" s="8"/>
      <c r="AB83" s="7"/>
      <c r="AC83" s="8"/>
      <c r="AD83" s="8"/>
      <c r="AE83" s="7"/>
      <c r="AF83" s="8"/>
      <c r="AG83" s="8"/>
      <c r="AH83" s="7"/>
      <c r="AI83" s="8"/>
      <c r="AJ83" s="8"/>
      <c r="AK83" s="7"/>
      <c r="AL83" s="8"/>
      <c r="AM83" s="8"/>
      <c r="AN83" s="7"/>
      <c r="AO83" s="8"/>
      <c r="AP83" s="8"/>
      <c r="AQ83" s="7"/>
      <c r="AR83" s="8"/>
      <c r="AS83" s="8"/>
      <c r="AT83" s="7"/>
      <c r="AU83" s="8"/>
      <c r="AV83" s="8"/>
      <c r="AW83" s="7"/>
      <c r="AX83" s="8"/>
      <c r="AY83" s="8"/>
      <c r="AZ83" s="7"/>
      <c r="BA83" s="8"/>
      <c r="BB83" s="8"/>
      <c r="BC83" s="7"/>
    </row>
    <row r="84" spans="1:55">
      <c r="A84" s="14"/>
      <c r="B84" s="10"/>
      <c r="C84" s="7">
        <f t="shared" si="5"/>
        <v>4</v>
      </c>
      <c r="D84" s="32" t="s">
        <v>507</v>
      </c>
      <c r="E84" s="8" t="s">
        <v>400</v>
      </c>
      <c r="F84" s="13"/>
      <c r="G84" s="8" t="s">
        <v>63</v>
      </c>
      <c r="H84" s="7"/>
      <c r="I84" s="7"/>
      <c r="J84" s="7" t="s">
        <v>0</v>
      </c>
      <c r="K84" s="8"/>
      <c r="L84" s="7"/>
      <c r="M84" s="7">
        <v>3</v>
      </c>
      <c r="N84" s="8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8"/>
      <c r="AA84" s="8"/>
      <c r="AB84" s="7"/>
      <c r="AC84" s="8"/>
      <c r="AD84" s="8"/>
      <c r="AE84" s="7"/>
      <c r="AF84" s="8"/>
      <c r="AG84" s="8"/>
      <c r="AH84" s="7"/>
      <c r="AI84" s="8"/>
      <c r="AJ84" s="8"/>
      <c r="AK84" s="7"/>
      <c r="AL84" s="8"/>
      <c r="AM84" s="8"/>
      <c r="AN84" s="7"/>
      <c r="AO84" s="8"/>
      <c r="AP84" s="8"/>
      <c r="AQ84" s="7"/>
      <c r="AR84" s="8"/>
      <c r="AS84" s="8"/>
      <c r="AT84" s="7"/>
      <c r="AU84" s="8"/>
      <c r="AV84" s="8"/>
      <c r="AW84" s="7"/>
      <c r="AX84" s="8"/>
      <c r="AY84" s="8"/>
      <c r="AZ84" s="7"/>
      <c r="BA84" s="8"/>
      <c r="BB84" s="8"/>
      <c r="BC84" s="7"/>
    </row>
    <row r="85" spans="1:55">
      <c r="A85" s="14"/>
      <c r="B85" s="10"/>
      <c r="C85" s="7">
        <f t="shared" si="5"/>
        <v>5</v>
      </c>
      <c r="D85" s="8" t="s">
        <v>113</v>
      </c>
      <c r="E85" s="8" t="s">
        <v>117</v>
      </c>
      <c r="F85" s="13"/>
      <c r="G85" s="8" t="s">
        <v>56</v>
      </c>
      <c r="H85" s="7"/>
      <c r="I85" s="7"/>
      <c r="J85" s="7" t="s">
        <v>0</v>
      </c>
      <c r="K85" s="8"/>
      <c r="L85" s="7"/>
      <c r="M85" s="7"/>
      <c r="N85" s="8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8"/>
      <c r="AA85" s="8"/>
      <c r="AB85" s="7"/>
      <c r="AC85" s="8"/>
      <c r="AD85" s="8"/>
      <c r="AE85" s="7"/>
      <c r="AF85" s="8"/>
      <c r="AG85" s="8"/>
      <c r="AH85" s="7"/>
      <c r="AI85" s="8"/>
      <c r="AJ85" s="8"/>
      <c r="AK85" s="7"/>
      <c r="AL85" s="8"/>
      <c r="AM85" s="8"/>
      <c r="AN85" s="7"/>
      <c r="AO85" s="8"/>
      <c r="AP85" s="8"/>
      <c r="AQ85" s="7"/>
      <c r="AR85" s="8"/>
      <c r="AS85" s="8"/>
      <c r="AT85" s="7"/>
      <c r="AU85" s="8"/>
      <c r="AV85" s="8"/>
      <c r="AW85" s="7"/>
      <c r="AX85" s="8"/>
      <c r="AY85" s="8"/>
      <c r="AZ85" s="7"/>
      <c r="BA85" s="8"/>
      <c r="BB85" s="8"/>
      <c r="BC85" s="7"/>
    </row>
    <row r="86" spans="1:55">
      <c r="A86" s="14"/>
      <c r="B86" s="10"/>
      <c r="C86" s="7">
        <f t="shared" si="5"/>
        <v>6</v>
      </c>
      <c r="D86" s="8" t="s">
        <v>108</v>
      </c>
      <c r="E86" s="8" t="s">
        <v>111</v>
      </c>
      <c r="F86" s="13"/>
      <c r="G86" s="8" t="s">
        <v>56</v>
      </c>
      <c r="H86" s="7">
        <v>5</v>
      </c>
      <c r="I86" s="7">
        <v>1</v>
      </c>
      <c r="J86" s="7" t="s">
        <v>0</v>
      </c>
      <c r="K86" s="8"/>
      <c r="L86" s="7"/>
      <c r="M86" s="7"/>
      <c r="N86" s="8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8"/>
      <c r="AA86" s="8"/>
      <c r="AB86" s="7"/>
      <c r="AC86" s="8"/>
      <c r="AD86" s="8"/>
      <c r="AE86" s="7"/>
      <c r="AF86" s="8"/>
      <c r="AG86" s="8"/>
      <c r="AH86" s="7"/>
      <c r="AI86" s="8"/>
      <c r="AJ86" s="8"/>
      <c r="AK86" s="7"/>
      <c r="AL86" s="8"/>
      <c r="AM86" s="8"/>
      <c r="AN86" s="7"/>
      <c r="AO86" s="8"/>
      <c r="AP86" s="8"/>
      <c r="AQ86" s="7"/>
      <c r="AR86" s="8"/>
      <c r="AS86" s="8"/>
      <c r="AT86" s="7"/>
      <c r="AU86" s="8"/>
      <c r="AV86" s="8"/>
      <c r="AW86" s="7"/>
      <c r="AX86" s="8"/>
      <c r="AY86" s="8"/>
      <c r="AZ86" s="7"/>
      <c r="BA86" s="8"/>
      <c r="BB86" s="8"/>
      <c r="BC86" s="7"/>
    </row>
    <row r="87" spans="1:55">
      <c r="A87" s="14"/>
      <c r="B87" s="10"/>
      <c r="C87" s="7">
        <f t="shared" si="5"/>
        <v>7</v>
      </c>
      <c r="D87" s="8" t="s">
        <v>114</v>
      </c>
      <c r="E87" s="8" t="s">
        <v>99</v>
      </c>
      <c r="F87" s="13"/>
      <c r="G87" s="8" t="s">
        <v>56</v>
      </c>
      <c r="H87" s="7">
        <v>5</v>
      </c>
      <c r="I87" s="7">
        <v>1</v>
      </c>
      <c r="J87" s="7" t="s">
        <v>0</v>
      </c>
      <c r="K87" s="8"/>
      <c r="L87" s="7"/>
      <c r="M87" s="7"/>
      <c r="N87" s="8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8"/>
      <c r="AA87" s="8"/>
      <c r="AB87" s="7"/>
      <c r="AC87" s="8"/>
      <c r="AD87" s="8"/>
      <c r="AE87" s="7"/>
      <c r="AF87" s="8"/>
      <c r="AG87" s="8"/>
      <c r="AH87" s="7"/>
      <c r="AI87" s="8"/>
      <c r="AJ87" s="8"/>
      <c r="AK87" s="7"/>
      <c r="AL87" s="8"/>
      <c r="AM87" s="8"/>
      <c r="AN87" s="7"/>
      <c r="AO87" s="8"/>
      <c r="AP87" s="8"/>
      <c r="AQ87" s="7"/>
      <c r="AR87" s="8"/>
      <c r="AS87" s="8"/>
      <c r="AT87" s="7"/>
      <c r="AU87" s="8"/>
      <c r="AV87" s="8"/>
      <c r="AW87" s="7"/>
      <c r="AX87" s="8"/>
      <c r="AY87" s="8"/>
      <c r="AZ87" s="7"/>
      <c r="BA87" s="8"/>
      <c r="BB87" s="8"/>
      <c r="BC87" s="7"/>
    </row>
    <row r="88" spans="1:55">
      <c r="A88" s="14"/>
      <c r="B88" s="10"/>
      <c r="C88" s="7">
        <f t="shared" ref="C88:C90" si="6">C87+1</f>
        <v>8</v>
      </c>
      <c r="D88" s="8" t="s">
        <v>115</v>
      </c>
      <c r="E88" s="8" t="s">
        <v>118</v>
      </c>
      <c r="F88" s="13"/>
      <c r="G88" s="8" t="s">
        <v>56</v>
      </c>
      <c r="H88" s="7">
        <v>4</v>
      </c>
      <c r="I88" s="7">
        <v>1</v>
      </c>
      <c r="J88" s="7"/>
      <c r="K88" s="8"/>
      <c r="L88" s="7"/>
      <c r="M88" s="7"/>
      <c r="N88" s="8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8"/>
      <c r="AA88" s="8"/>
      <c r="AB88" s="7"/>
      <c r="AC88" s="8"/>
      <c r="AD88" s="8"/>
      <c r="AE88" s="7"/>
      <c r="AF88" s="8"/>
      <c r="AG88" s="8"/>
      <c r="AH88" s="7"/>
      <c r="AI88" s="8"/>
      <c r="AJ88" s="8"/>
      <c r="AK88" s="7"/>
      <c r="AL88" s="8"/>
      <c r="AM88" s="8"/>
      <c r="AN88" s="7"/>
      <c r="AO88" s="8"/>
      <c r="AP88" s="8"/>
      <c r="AQ88" s="7"/>
      <c r="AR88" s="8"/>
      <c r="AS88" s="8"/>
      <c r="AT88" s="7"/>
      <c r="AU88" s="8"/>
      <c r="AV88" s="8"/>
      <c r="AW88" s="7"/>
      <c r="AX88" s="8"/>
      <c r="AY88" s="8"/>
      <c r="AZ88" s="7"/>
      <c r="BA88" s="8"/>
      <c r="BB88" s="8"/>
      <c r="BC88" s="7"/>
    </row>
    <row r="89" spans="1:55">
      <c r="A89" s="14"/>
      <c r="B89" s="10"/>
      <c r="C89" s="7">
        <f t="shared" si="6"/>
        <v>9</v>
      </c>
      <c r="D89" s="8" t="s">
        <v>463</v>
      </c>
      <c r="E89" s="43" t="s">
        <v>464</v>
      </c>
      <c r="F89" s="13"/>
      <c r="G89" s="8" t="s">
        <v>56</v>
      </c>
      <c r="H89" s="7">
        <v>4</v>
      </c>
      <c r="I89" s="7">
        <v>1</v>
      </c>
      <c r="J89" s="7"/>
      <c r="K89" s="8"/>
      <c r="L89" s="7"/>
      <c r="M89" s="7"/>
      <c r="N89" s="8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8"/>
      <c r="AA89" s="8"/>
      <c r="AB89" s="7"/>
      <c r="AC89" s="8"/>
      <c r="AD89" s="8"/>
      <c r="AE89" s="7"/>
      <c r="AF89" s="8"/>
      <c r="AG89" s="8"/>
      <c r="AH89" s="7"/>
      <c r="AI89" s="8"/>
      <c r="AJ89" s="8"/>
      <c r="AK89" s="7"/>
      <c r="AL89" s="8"/>
      <c r="AM89" s="8"/>
      <c r="AN89" s="7"/>
      <c r="AO89" s="8"/>
      <c r="AP89" s="8"/>
      <c r="AQ89" s="7"/>
      <c r="AR89" s="8"/>
      <c r="AS89" s="8"/>
      <c r="AT89" s="7"/>
      <c r="AU89" s="8"/>
      <c r="AV89" s="8"/>
      <c r="AW89" s="7"/>
      <c r="AX89" s="8"/>
      <c r="AY89" s="8"/>
      <c r="AZ89" s="7"/>
      <c r="BA89" s="8"/>
      <c r="BB89" s="8"/>
      <c r="BC89" s="7"/>
    </row>
    <row r="90" spans="1:55">
      <c r="A90" s="14"/>
      <c r="B90" s="10"/>
      <c r="C90" s="7">
        <f t="shared" si="6"/>
        <v>10</v>
      </c>
      <c r="D90" s="8" t="s">
        <v>116</v>
      </c>
      <c r="E90" s="32" t="s">
        <v>466</v>
      </c>
      <c r="F90" s="13"/>
      <c r="G90" s="8" t="s">
        <v>56</v>
      </c>
      <c r="H90" s="7">
        <v>4</v>
      </c>
      <c r="I90" s="7">
        <v>1</v>
      </c>
      <c r="J90" s="7"/>
      <c r="K90" s="8"/>
      <c r="L90" s="7"/>
      <c r="M90" s="7"/>
      <c r="N90" s="8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8"/>
      <c r="AA90" s="8"/>
      <c r="AB90" s="7"/>
      <c r="AC90" s="8"/>
      <c r="AD90" s="8"/>
      <c r="AE90" s="7"/>
      <c r="AF90" s="8"/>
      <c r="AG90" s="8"/>
      <c r="AH90" s="7"/>
      <c r="AI90" s="8"/>
      <c r="AJ90" s="8"/>
      <c r="AK90" s="7"/>
      <c r="AL90" s="8"/>
      <c r="AM90" s="8"/>
      <c r="AN90" s="7"/>
      <c r="AO90" s="8"/>
      <c r="AP90" s="8"/>
      <c r="AQ90" s="7"/>
      <c r="AR90" s="8"/>
      <c r="AS90" s="8"/>
      <c r="AT90" s="7"/>
      <c r="AU90" s="8"/>
      <c r="AV90" s="8"/>
      <c r="AW90" s="7"/>
      <c r="AX90" s="8"/>
      <c r="AY90" s="8"/>
      <c r="AZ90" s="7"/>
      <c r="BA90" s="8"/>
      <c r="BB90" s="8"/>
      <c r="BC90" s="7"/>
    </row>
    <row r="91" spans="1:55">
      <c r="A91" s="37">
        <v>11</v>
      </c>
      <c r="B91" s="10" t="s">
        <v>153</v>
      </c>
      <c r="C91" s="7">
        <v>1</v>
      </c>
      <c r="D91" s="8" t="s">
        <v>78</v>
      </c>
      <c r="E91" s="9" t="s">
        <v>79</v>
      </c>
      <c r="F91" s="13"/>
      <c r="G91" s="8" t="s">
        <v>61</v>
      </c>
      <c r="H91" s="7"/>
      <c r="I91" s="7"/>
      <c r="J91" s="7" t="s">
        <v>0</v>
      </c>
      <c r="K91" s="8"/>
      <c r="L91" s="7">
        <v>1</v>
      </c>
      <c r="M91" s="7"/>
      <c r="N91" s="8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8"/>
      <c r="AA91" s="8"/>
      <c r="AB91" s="7"/>
      <c r="AC91" s="8"/>
      <c r="AD91" s="8"/>
      <c r="AE91" s="7"/>
      <c r="AF91" s="8"/>
      <c r="AG91" s="8"/>
      <c r="AH91" s="7"/>
      <c r="AI91" s="8"/>
      <c r="AJ91" s="8"/>
      <c r="AK91" s="7"/>
      <c r="AL91" s="8"/>
      <c r="AM91" s="8"/>
      <c r="AN91" s="7"/>
      <c r="AO91" s="8"/>
      <c r="AP91" s="8"/>
      <c r="AQ91" s="7"/>
      <c r="AR91" s="8"/>
      <c r="AS91" s="8"/>
      <c r="AT91" s="7"/>
      <c r="AU91" s="8"/>
      <c r="AV91" s="8"/>
      <c r="AW91" s="7"/>
      <c r="AX91" s="8"/>
      <c r="AY91" s="8"/>
      <c r="AZ91" s="7"/>
      <c r="BA91" s="8"/>
      <c r="BB91" s="8"/>
      <c r="BC91" s="7"/>
    </row>
    <row r="92" spans="1:55">
      <c r="A92" s="14"/>
      <c r="B92" s="10" t="s">
        <v>89</v>
      </c>
      <c r="C92" s="7">
        <f t="shared" ref="C92:C97" si="7">C91+1</f>
        <v>2</v>
      </c>
      <c r="D92" s="32" t="s">
        <v>143</v>
      </c>
      <c r="E92" s="8" t="s">
        <v>140</v>
      </c>
      <c r="F92" s="13"/>
      <c r="G92" s="8" t="s">
        <v>63</v>
      </c>
      <c r="H92" s="7"/>
      <c r="I92" s="7"/>
      <c r="J92" s="7" t="s">
        <v>0</v>
      </c>
      <c r="K92" s="8"/>
      <c r="L92" s="7"/>
      <c r="M92" s="7">
        <v>1</v>
      </c>
      <c r="N92" s="8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32" t="s">
        <v>228</v>
      </c>
      <c r="AA92" s="32" t="s">
        <v>227</v>
      </c>
      <c r="AB92" s="35" t="s">
        <v>0</v>
      </c>
      <c r="AC92" s="8"/>
      <c r="AD92" s="8"/>
      <c r="AE92" s="7"/>
      <c r="AF92" s="8"/>
      <c r="AG92" s="8"/>
      <c r="AH92" s="7"/>
      <c r="AI92" s="8"/>
      <c r="AJ92" s="8"/>
      <c r="AK92" s="7"/>
      <c r="AL92" s="8"/>
      <c r="AM92" s="8"/>
      <c r="AN92" s="7"/>
      <c r="AO92" s="8"/>
      <c r="AP92" s="8"/>
      <c r="AQ92" s="7"/>
      <c r="AR92" s="8"/>
      <c r="AS92" s="8"/>
      <c r="AT92" s="7"/>
      <c r="AU92" s="8"/>
      <c r="AV92" s="8"/>
      <c r="AW92" s="7"/>
      <c r="AX92" s="8"/>
      <c r="AY92" s="8"/>
      <c r="AZ92" s="7"/>
      <c r="BA92" s="8"/>
      <c r="BB92" s="8"/>
      <c r="BC92" s="7"/>
    </row>
    <row r="93" spans="1:55">
      <c r="A93" s="14"/>
      <c r="B93" s="10"/>
      <c r="C93" s="7">
        <f t="shared" si="7"/>
        <v>3</v>
      </c>
      <c r="D93" s="8" t="s">
        <v>427</v>
      </c>
      <c r="E93" s="8" t="s">
        <v>432</v>
      </c>
      <c r="F93" s="13"/>
      <c r="G93" s="8" t="s">
        <v>63</v>
      </c>
      <c r="H93" s="7"/>
      <c r="I93" s="7"/>
      <c r="J93" s="7" t="s">
        <v>0</v>
      </c>
      <c r="K93" s="8"/>
      <c r="L93" s="7"/>
      <c r="M93" s="7">
        <v>2</v>
      </c>
      <c r="N93" s="8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8"/>
      <c r="AA93" s="8"/>
      <c r="AB93" s="7"/>
      <c r="AC93" s="8"/>
      <c r="AD93" s="8"/>
      <c r="AE93" s="7"/>
      <c r="AF93" s="8"/>
      <c r="AG93" s="8"/>
      <c r="AH93" s="7"/>
      <c r="AI93" s="8"/>
      <c r="AJ93" s="8"/>
      <c r="AK93" s="7"/>
      <c r="AL93" s="8"/>
      <c r="AM93" s="8"/>
      <c r="AN93" s="7"/>
      <c r="AO93" s="8"/>
      <c r="AP93" s="8"/>
      <c r="AQ93" s="7"/>
      <c r="AR93" s="8"/>
      <c r="AS93" s="8"/>
      <c r="AT93" s="7"/>
      <c r="AU93" s="8"/>
      <c r="AV93" s="8"/>
      <c r="AW93" s="7"/>
      <c r="AX93" s="8"/>
      <c r="AY93" s="8"/>
      <c r="AZ93" s="7"/>
      <c r="BA93" s="8"/>
      <c r="BB93" s="8"/>
      <c r="BC93" s="7"/>
    </row>
    <row r="94" spans="1:55">
      <c r="A94" s="14"/>
      <c r="B94" s="10"/>
      <c r="C94" s="7">
        <f t="shared" si="7"/>
        <v>4</v>
      </c>
      <c r="D94" s="32" t="s">
        <v>507</v>
      </c>
      <c r="E94" s="8" t="s">
        <v>400</v>
      </c>
      <c r="F94" s="13"/>
      <c r="G94" s="8" t="s">
        <v>63</v>
      </c>
      <c r="H94" s="7"/>
      <c r="I94" s="7"/>
      <c r="J94" s="7" t="s">
        <v>0</v>
      </c>
      <c r="K94" s="8"/>
      <c r="L94" s="7"/>
      <c r="M94" s="7">
        <v>3</v>
      </c>
      <c r="N94" s="8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8"/>
      <c r="AA94" s="8"/>
      <c r="AB94" s="7"/>
      <c r="AC94" s="8"/>
      <c r="AD94" s="8"/>
      <c r="AE94" s="7"/>
      <c r="AF94" s="8"/>
      <c r="AG94" s="8"/>
      <c r="AH94" s="7"/>
      <c r="AI94" s="8"/>
      <c r="AJ94" s="8"/>
      <c r="AK94" s="7"/>
      <c r="AL94" s="8"/>
      <c r="AM94" s="8"/>
      <c r="AN94" s="7"/>
      <c r="AO94" s="8"/>
      <c r="AP94" s="8"/>
      <c r="AQ94" s="7"/>
      <c r="AR94" s="8"/>
      <c r="AS94" s="8"/>
      <c r="AT94" s="7"/>
      <c r="AU94" s="8"/>
      <c r="AV94" s="8"/>
      <c r="AW94" s="7"/>
      <c r="AX94" s="8"/>
      <c r="AY94" s="8"/>
      <c r="AZ94" s="7"/>
      <c r="BA94" s="8"/>
      <c r="BB94" s="8"/>
      <c r="BC94" s="7"/>
    </row>
    <row r="95" spans="1:55">
      <c r="A95" s="14"/>
      <c r="B95" s="10"/>
      <c r="C95" s="7">
        <f t="shared" si="7"/>
        <v>5</v>
      </c>
      <c r="D95" s="32" t="s">
        <v>549</v>
      </c>
      <c r="E95" s="8" t="s">
        <v>550</v>
      </c>
      <c r="F95" s="13"/>
      <c r="G95" s="8" t="s">
        <v>56</v>
      </c>
      <c r="H95" s="7"/>
      <c r="I95" s="7"/>
      <c r="J95" s="7"/>
      <c r="K95" s="8"/>
      <c r="L95" s="7"/>
      <c r="M95" s="7"/>
      <c r="N95" s="8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8"/>
      <c r="AA95" s="8"/>
      <c r="AB95" s="7"/>
      <c r="AC95" s="8"/>
      <c r="AD95" s="8"/>
      <c r="AE95" s="7"/>
      <c r="AF95" s="8"/>
      <c r="AG95" s="8"/>
      <c r="AH95" s="7"/>
      <c r="AI95" s="8"/>
      <c r="AJ95" s="8"/>
      <c r="AK95" s="7"/>
      <c r="AL95" s="8"/>
      <c r="AM95" s="8"/>
      <c r="AN95" s="7"/>
      <c r="AO95" s="8"/>
      <c r="AP95" s="8"/>
      <c r="AQ95" s="7"/>
      <c r="AR95" s="8"/>
      <c r="AS95" s="8"/>
      <c r="AT95" s="7"/>
      <c r="AU95" s="8"/>
      <c r="AV95" s="8"/>
      <c r="AW95" s="7"/>
      <c r="AX95" s="8"/>
      <c r="AY95" s="8"/>
      <c r="AZ95" s="7"/>
      <c r="BA95" s="8"/>
      <c r="BB95" s="8"/>
      <c r="BC95" s="7"/>
    </row>
    <row r="96" spans="1:55">
      <c r="A96" s="14"/>
      <c r="B96" s="10"/>
      <c r="C96" s="7">
        <f t="shared" si="7"/>
        <v>6</v>
      </c>
      <c r="D96" s="8" t="s">
        <v>120</v>
      </c>
      <c r="E96" s="8" t="s">
        <v>125</v>
      </c>
      <c r="F96" s="13" t="s">
        <v>508</v>
      </c>
      <c r="G96" s="8" t="s">
        <v>56</v>
      </c>
      <c r="H96" s="7"/>
      <c r="I96" s="7"/>
      <c r="J96" s="7"/>
      <c r="K96" s="8"/>
      <c r="L96" s="7"/>
      <c r="M96" s="7"/>
      <c r="N96" s="8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8"/>
      <c r="AA96" s="8"/>
      <c r="AB96" s="7"/>
      <c r="AC96" s="8"/>
      <c r="AD96" s="8"/>
      <c r="AE96" s="7"/>
      <c r="AF96" s="8"/>
      <c r="AG96" s="8"/>
      <c r="AH96" s="7"/>
      <c r="AI96" s="8"/>
      <c r="AJ96" s="8"/>
      <c r="AK96" s="7"/>
      <c r="AL96" s="8"/>
      <c r="AM96" s="8"/>
      <c r="AN96" s="7"/>
      <c r="AO96" s="8"/>
      <c r="AP96" s="8"/>
      <c r="AQ96" s="7"/>
      <c r="AR96" s="8"/>
      <c r="AS96" s="8"/>
      <c r="AT96" s="7"/>
      <c r="AU96" s="8"/>
      <c r="AV96" s="8"/>
      <c r="AW96" s="7"/>
      <c r="AX96" s="8"/>
      <c r="AY96" s="8"/>
      <c r="AZ96" s="7"/>
      <c r="BA96" s="8"/>
      <c r="BB96" s="8"/>
      <c r="BC96" s="7"/>
    </row>
    <row r="97" spans="1:55">
      <c r="A97" s="14"/>
      <c r="B97" s="10"/>
      <c r="C97" s="7">
        <f t="shared" si="7"/>
        <v>7</v>
      </c>
      <c r="D97" s="8" t="s">
        <v>121</v>
      </c>
      <c r="E97" s="8" t="s">
        <v>126</v>
      </c>
      <c r="F97" s="13"/>
      <c r="G97" s="8" t="s">
        <v>56</v>
      </c>
      <c r="H97" s="7">
        <v>4</v>
      </c>
      <c r="I97" s="7">
        <v>1</v>
      </c>
      <c r="J97" s="7" t="s">
        <v>0</v>
      </c>
      <c r="K97" s="8"/>
      <c r="L97" s="7"/>
      <c r="M97" s="7"/>
      <c r="N97" s="8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8"/>
      <c r="AA97" s="8"/>
      <c r="AB97" s="7"/>
      <c r="AC97" s="8"/>
      <c r="AD97" s="8"/>
      <c r="AE97" s="7"/>
      <c r="AF97" s="8"/>
      <c r="AG97" s="8"/>
      <c r="AH97" s="7"/>
      <c r="AI97" s="8"/>
      <c r="AJ97" s="8"/>
      <c r="AK97" s="7"/>
      <c r="AL97" s="8"/>
      <c r="AM97" s="8"/>
      <c r="AN97" s="7"/>
      <c r="AO97" s="8"/>
      <c r="AP97" s="8"/>
      <c r="AQ97" s="7"/>
      <c r="AR97" s="8"/>
      <c r="AS97" s="8"/>
      <c r="AT97" s="7"/>
      <c r="AU97" s="8"/>
      <c r="AV97" s="8"/>
      <c r="AW97" s="7"/>
      <c r="AX97" s="8"/>
      <c r="AY97" s="8"/>
      <c r="AZ97" s="7"/>
      <c r="BA97" s="8"/>
      <c r="BB97" s="8"/>
      <c r="BC97" s="7"/>
    </row>
    <row r="98" spans="1:55">
      <c r="A98" s="14"/>
      <c r="B98" s="10"/>
      <c r="C98" s="7">
        <f t="shared" ref="C98" si="8">C97+1</f>
        <v>8</v>
      </c>
      <c r="D98" s="8" t="s">
        <v>122</v>
      </c>
      <c r="E98" s="8" t="s">
        <v>127</v>
      </c>
      <c r="F98" s="13"/>
      <c r="G98" s="8" t="s">
        <v>56</v>
      </c>
      <c r="H98" s="7">
        <v>4</v>
      </c>
      <c r="I98" s="7">
        <v>1</v>
      </c>
      <c r="J98" s="7"/>
      <c r="K98" s="8"/>
      <c r="L98" s="7"/>
      <c r="M98" s="7"/>
      <c r="N98" s="8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8"/>
      <c r="AA98" s="8"/>
      <c r="AB98" s="7"/>
      <c r="AC98" s="8"/>
      <c r="AD98" s="8"/>
      <c r="AE98" s="7"/>
      <c r="AF98" s="8"/>
      <c r="AG98" s="8"/>
      <c r="AH98" s="7"/>
      <c r="AI98" s="8"/>
      <c r="AJ98" s="8"/>
      <c r="AK98" s="7"/>
      <c r="AL98" s="8"/>
      <c r="AM98" s="8"/>
      <c r="AN98" s="7"/>
      <c r="AO98" s="8"/>
      <c r="AP98" s="8"/>
      <c r="AQ98" s="7"/>
      <c r="AR98" s="8"/>
      <c r="AS98" s="8"/>
      <c r="AT98" s="7"/>
      <c r="AU98" s="8"/>
      <c r="AV98" s="8"/>
      <c r="AW98" s="7"/>
      <c r="AX98" s="8"/>
      <c r="AY98" s="8"/>
      <c r="AZ98" s="7"/>
      <c r="BA98" s="8"/>
      <c r="BB98" s="8"/>
      <c r="BC98" s="7"/>
    </row>
    <row r="99" spans="1:55">
      <c r="A99" s="37">
        <v>12</v>
      </c>
      <c r="B99" s="10" t="s">
        <v>527</v>
      </c>
      <c r="C99" s="7">
        <v>1</v>
      </c>
      <c r="D99" s="8" t="s">
        <v>55</v>
      </c>
      <c r="E99" s="9" t="s">
        <v>62</v>
      </c>
      <c r="F99" s="13"/>
      <c r="G99" s="8" t="s">
        <v>61</v>
      </c>
      <c r="H99" s="7"/>
      <c r="I99" s="7"/>
      <c r="J99" s="7" t="s">
        <v>0</v>
      </c>
      <c r="K99" s="8"/>
      <c r="L99" s="7">
        <v>1</v>
      </c>
      <c r="M99" s="7"/>
      <c r="N99" s="8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8"/>
      <c r="AA99" s="8"/>
      <c r="AB99" s="7"/>
      <c r="AC99" s="8"/>
      <c r="AD99" s="8"/>
      <c r="AE99" s="7"/>
      <c r="AF99" s="8"/>
      <c r="AG99" s="8"/>
      <c r="AH99" s="7"/>
      <c r="AI99" s="8"/>
      <c r="AJ99" s="8"/>
      <c r="AK99" s="7"/>
      <c r="AL99" s="8"/>
      <c r="AM99" s="8"/>
      <c r="AN99" s="7"/>
      <c r="AO99" s="8"/>
      <c r="AP99" s="8"/>
      <c r="AQ99" s="7"/>
      <c r="AR99" s="8"/>
      <c r="AS99" s="8"/>
      <c r="AT99" s="7"/>
      <c r="AU99" s="8"/>
      <c r="AV99" s="8"/>
      <c r="AW99" s="7"/>
      <c r="AX99" s="8"/>
      <c r="AY99" s="8"/>
      <c r="AZ99" s="7"/>
      <c r="BA99" s="8"/>
      <c r="BB99" s="8"/>
      <c r="BC99" s="7"/>
    </row>
    <row r="100" spans="1:55">
      <c r="A100" s="14"/>
      <c r="B100" s="10" t="s">
        <v>528</v>
      </c>
      <c r="C100" s="7">
        <f t="shared" ref="C100:C108" si="9">C99+1</f>
        <v>2</v>
      </c>
      <c r="D100" s="8" t="s">
        <v>143</v>
      </c>
      <c r="E100" s="8" t="s">
        <v>140</v>
      </c>
      <c r="F100" s="13"/>
      <c r="G100" s="8" t="s">
        <v>63</v>
      </c>
      <c r="H100" s="7"/>
      <c r="I100" s="7"/>
      <c r="J100" s="7" t="s">
        <v>0</v>
      </c>
      <c r="K100" s="8"/>
      <c r="L100" s="7"/>
      <c r="M100" s="7">
        <v>1</v>
      </c>
      <c r="N100" s="8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8"/>
      <c r="AA100" s="8"/>
      <c r="AB100" s="7"/>
      <c r="AC100" s="8"/>
      <c r="AD100" s="8"/>
      <c r="AE100" s="7"/>
      <c r="AF100" s="8"/>
      <c r="AG100" s="8"/>
      <c r="AH100" s="7"/>
      <c r="AI100" s="8"/>
      <c r="AJ100" s="8"/>
      <c r="AK100" s="7"/>
      <c r="AL100" s="8"/>
      <c r="AM100" s="8"/>
      <c r="AN100" s="7"/>
      <c r="AO100" s="8"/>
      <c r="AP100" s="8"/>
      <c r="AQ100" s="7"/>
      <c r="AR100" s="8"/>
      <c r="AS100" s="8"/>
      <c r="AT100" s="7"/>
      <c r="AU100" s="8"/>
      <c r="AV100" s="8"/>
      <c r="AW100" s="7"/>
      <c r="AX100" s="8"/>
      <c r="AY100" s="8"/>
      <c r="AZ100" s="7"/>
      <c r="BA100" s="8"/>
      <c r="BB100" s="8"/>
      <c r="BC100" s="7"/>
    </row>
    <row r="101" spans="1:55">
      <c r="A101" s="14"/>
      <c r="B101" s="10"/>
      <c r="C101" s="7">
        <f t="shared" si="9"/>
        <v>3</v>
      </c>
      <c r="D101" s="9" t="s">
        <v>484</v>
      </c>
      <c r="E101" s="8" t="s">
        <v>432</v>
      </c>
      <c r="F101" s="13"/>
      <c r="G101" s="8" t="s">
        <v>63</v>
      </c>
      <c r="H101" s="7"/>
      <c r="I101" s="7"/>
      <c r="J101" s="7" t="s">
        <v>0</v>
      </c>
      <c r="K101" s="8"/>
      <c r="L101" s="7"/>
      <c r="M101" s="7">
        <v>2</v>
      </c>
      <c r="N101" s="8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8"/>
      <c r="AA101" s="8"/>
      <c r="AB101" s="7"/>
      <c r="AC101" s="8"/>
      <c r="AD101" s="8"/>
      <c r="AE101" s="7"/>
      <c r="AF101" s="8"/>
      <c r="AG101" s="8"/>
      <c r="AH101" s="7"/>
      <c r="AI101" s="8"/>
      <c r="AJ101" s="8"/>
      <c r="AK101" s="7"/>
      <c r="AL101" s="8"/>
      <c r="AM101" s="8"/>
      <c r="AN101" s="7"/>
      <c r="AO101" s="8"/>
      <c r="AP101" s="8"/>
      <c r="AQ101" s="7"/>
      <c r="AR101" s="8"/>
      <c r="AS101" s="8"/>
      <c r="AT101" s="7"/>
      <c r="AU101" s="8"/>
      <c r="AV101" s="8"/>
      <c r="AW101" s="7"/>
      <c r="AX101" s="8"/>
      <c r="AY101" s="8"/>
      <c r="AZ101" s="7"/>
      <c r="BA101" s="8"/>
      <c r="BB101" s="8"/>
      <c r="BC101" s="7"/>
    </row>
    <row r="102" spans="1:55">
      <c r="A102" s="14"/>
      <c r="B102" s="10"/>
      <c r="C102" s="7">
        <f t="shared" si="9"/>
        <v>4</v>
      </c>
      <c r="D102" s="9" t="s">
        <v>537</v>
      </c>
      <c r="E102" s="9" t="s">
        <v>538</v>
      </c>
      <c r="F102" s="44" t="s">
        <v>539</v>
      </c>
      <c r="G102" s="8" t="s">
        <v>49</v>
      </c>
      <c r="H102" s="7">
        <v>1</v>
      </c>
      <c r="I102" s="7"/>
      <c r="J102" s="7" t="s">
        <v>0</v>
      </c>
      <c r="K102" s="8"/>
      <c r="L102" s="7"/>
      <c r="M102" s="7">
        <v>3</v>
      </c>
      <c r="N102" s="8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8"/>
      <c r="AA102" s="8"/>
      <c r="AB102" s="7"/>
      <c r="AC102" s="8"/>
      <c r="AD102" s="8"/>
      <c r="AE102" s="7"/>
      <c r="AF102" s="8"/>
      <c r="AG102" s="8"/>
      <c r="AH102" s="7"/>
      <c r="AI102" s="8"/>
      <c r="AJ102" s="8"/>
      <c r="AK102" s="7"/>
      <c r="AL102" s="8"/>
      <c r="AM102" s="8"/>
      <c r="AN102" s="7"/>
      <c r="AO102" s="8"/>
      <c r="AP102" s="8"/>
      <c r="AQ102" s="7"/>
      <c r="AR102" s="8"/>
      <c r="AS102" s="8"/>
      <c r="AT102" s="7"/>
      <c r="AU102" s="8"/>
      <c r="AV102" s="8"/>
      <c r="AW102" s="7"/>
      <c r="AX102" s="8"/>
      <c r="AY102" s="8"/>
      <c r="AZ102" s="7"/>
      <c r="BA102" s="8"/>
      <c r="BB102" s="8"/>
      <c r="BC102" s="7"/>
    </row>
    <row r="103" spans="1:55">
      <c r="A103" s="14"/>
      <c r="B103" s="10"/>
      <c r="C103" s="7">
        <f t="shared" si="9"/>
        <v>5</v>
      </c>
      <c r="D103" s="9" t="s">
        <v>545</v>
      </c>
      <c r="E103" s="9" t="s">
        <v>546</v>
      </c>
      <c r="F103" s="44"/>
      <c r="G103" s="8" t="s">
        <v>56</v>
      </c>
      <c r="H103" s="7"/>
      <c r="I103" s="7"/>
      <c r="J103" s="7"/>
      <c r="K103" s="8"/>
      <c r="L103" s="7"/>
      <c r="M103" s="7"/>
      <c r="N103" s="8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8"/>
      <c r="AA103" s="8"/>
      <c r="AB103" s="7"/>
      <c r="AC103" s="8"/>
      <c r="AD103" s="8"/>
      <c r="AE103" s="7"/>
      <c r="AF103" s="8"/>
      <c r="AG103" s="8"/>
      <c r="AH103" s="7"/>
      <c r="AI103" s="8"/>
      <c r="AJ103" s="8"/>
      <c r="AK103" s="7"/>
      <c r="AL103" s="8"/>
      <c r="AM103" s="8"/>
      <c r="AN103" s="7"/>
      <c r="AO103" s="8"/>
      <c r="AP103" s="8"/>
      <c r="AQ103" s="7"/>
      <c r="AR103" s="8"/>
      <c r="AS103" s="8"/>
      <c r="AT103" s="7"/>
      <c r="AU103" s="8"/>
      <c r="AV103" s="8"/>
      <c r="AW103" s="7"/>
      <c r="AX103" s="8"/>
      <c r="AY103" s="8"/>
      <c r="AZ103" s="7"/>
      <c r="BA103" s="8"/>
      <c r="BB103" s="8"/>
      <c r="BC103" s="7"/>
    </row>
    <row r="104" spans="1:55">
      <c r="A104" s="14"/>
      <c r="B104" s="10"/>
      <c r="C104" s="7">
        <f t="shared" si="9"/>
        <v>6</v>
      </c>
      <c r="D104" s="9" t="s">
        <v>535</v>
      </c>
      <c r="E104" s="9" t="s">
        <v>536</v>
      </c>
      <c r="F104" s="13"/>
      <c r="G104" s="8" t="s">
        <v>56</v>
      </c>
      <c r="H104" s="7"/>
      <c r="I104" s="7"/>
      <c r="J104" s="7"/>
      <c r="K104" s="8"/>
      <c r="L104" s="7"/>
      <c r="M104" s="7"/>
      <c r="N104" s="8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8"/>
      <c r="AA104" s="8"/>
      <c r="AB104" s="7"/>
      <c r="AC104" s="8"/>
      <c r="AD104" s="8"/>
      <c r="AE104" s="7"/>
      <c r="AF104" s="8"/>
      <c r="AG104" s="8"/>
      <c r="AH104" s="7"/>
      <c r="AI104" s="8"/>
      <c r="AJ104" s="8"/>
      <c r="AK104" s="7"/>
      <c r="AL104" s="8"/>
      <c r="AM104" s="8"/>
      <c r="AN104" s="7"/>
      <c r="AO104" s="8"/>
      <c r="AP104" s="8"/>
      <c r="AQ104" s="7"/>
      <c r="AR104" s="8"/>
      <c r="AS104" s="8"/>
      <c r="AT104" s="7"/>
      <c r="AU104" s="8"/>
      <c r="AV104" s="8"/>
      <c r="AW104" s="7"/>
      <c r="AX104" s="8"/>
      <c r="AY104" s="8"/>
      <c r="AZ104" s="7"/>
      <c r="BA104" s="8"/>
      <c r="BB104" s="8"/>
      <c r="BC104" s="7"/>
    </row>
    <row r="105" spans="1:55">
      <c r="A105" s="14"/>
      <c r="B105" s="10"/>
      <c r="C105" s="7">
        <f t="shared" si="9"/>
        <v>7</v>
      </c>
      <c r="D105" s="9" t="s">
        <v>529</v>
      </c>
      <c r="E105" s="9" t="s">
        <v>533</v>
      </c>
      <c r="F105" s="13"/>
      <c r="G105" s="8" t="s">
        <v>56</v>
      </c>
      <c r="H105" s="7"/>
      <c r="I105" s="7"/>
      <c r="J105" s="7"/>
      <c r="K105" s="8"/>
      <c r="L105" s="7"/>
      <c r="M105" s="7"/>
      <c r="N105" s="8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8"/>
      <c r="AA105" s="8"/>
      <c r="AB105" s="7"/>
      <c r="AC105" s="8"/>
      <c r="AD105" s="8"/>
      <c r="AE105" s="7"/>
      <c r="AF105" s="8"/>
      <c r="AG105" s="8"/>
      <c r="AH105" s="7"/>
      <c r="AI105" s="8"/>
      <c r="AJ105" s="8"/>
      <c r="AK105" s="7"/>
      <c r="AL105" s="8"/>
      <c r="AM105" s="8"/>
      <c r="AN105" s="7"/>
      <c r="AO105" s="8"/>
      <c r="AP105" s="8"/>
      <c r="AQ105" s="7"/>
      <c r="AR105" s="8"/>
      <c r="AS105" s="8"/>
      <c r="AT105" s="7"/>
      <c r="AU105" s="8"/>
      <c r="AV105" s="8"/>
      <c r="AW105" s="7"/>
      <c r="AX105" s="8"/>
      <c r="AY105" s="8"/>
      <c r="AZ105" s="7"/>
      <c r="BA105" s="8"/>
      <c r="BB105" s="8"/>
      <c r="BC105" s="7"/>
    </row>
    <row r="106" spans="1:55">
      <c r="A106" s="14"/>
      <c r="B106" s="10"/>
      <c r="C106" s="7">
        <f t="shared" si="9"/>
        <v>8</v>
      </c>
      <c r="D106" s="9" t="s">
        <v>530</v>
      </c>
      <c r="E106" s="9" t="s">
        <v>534</v>
      </c>
      <c r="F106" s="13"/>
      <c r="G106" s="8" t="s">
        <v>56</v>
      </c>
      <c r="H106" s="7"/>
      <c r="I106" s="7"/>
      <c r="J106" s="7"/>
      <c r="K106" s="8"/>
      <c r="L106" s="7"/>
      <c r="M106" s="7"/>
      <c r="N106" s="8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8"/>
      <c r="AA106" s="8"/>
      <c r="AB106" s="7"/>
      <c r="AC106" s="8"/>
      <c r="AD106" s="8"/>
      <c r="AE106" s="7"/>
      <c r="AF106" s="8"/>
      <c r="AG106" s="8"/>
      <c r="AH106" s="7"/>
      <c r="AI106" s="8"/>
      <c r="AJ106" s="8"/>
      <c r="AK106" s="7"/>
      <c r="AL106" s="8"/>
      <c r="AM106" s="8"/>
      <c r="AN106" s="7"/>
      <c r="AO106" s="8"/>
      <c r="AP106" s="8"/>
      <c r="AQ106" s="7"/>
      <c r="AR106" s="8"/>
      <c r="AS106" s="8"/>
      <c r="AT106" s="7"/>
      <c r="AU106" s="8"/>
      <c r="AV106" s="8"/>
      <c r="AW106" s="7"/>
      <c r="AX106" s="8"/>
      <c r="AY106" s="8"/>
      <c r="AZ106" s="7"/>
      <c r="BA106" s="8"/>
      <c r="BB106" s="8"/>
      <c r="BC106" s="7"/>
    </row>
    <row r="107" spans="1:55">
      <c r="A107" s="14"/>
      <c r="B107" s="10"/>
      <c r="C107" s="7">
        <f t="shared" si="9"/>
        <v>9</v>
      </c>
      <c r="D107" s="9" t="s">
        <v>113</v>
      </c>
      <c r="E107" s="9" t="s">
        <v>542</v>
      </c>
      <c r="F107" s="13"/>
      <c r="G107" s="8" t="s">
        <v>56</v>
      </c>
      <c r="H107" s="7"/>
      <c r="I107" s="7"/>
      <c r="J107" s="7"/>
      <c r="K107" s="8"/>
      <c r="L107" s="7"/>
      <c r="M107" s="7"/>
      <c r="N107" s="8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8"/>
      <c r="AA107" s="8"/>
      <c r="AB107" s="7"/>
      <c r="AC107" s="8"/>
      <c r="AD107" s="8"/>
      <c r="AE107" s="7"/>
      <c r="AF107" s="8"/>
      <c r="AG107" s="8"/>
      <c r="AH107" s="7"/>
      <c r="AI107" s="8"/>
      <c r="AJ107" s="8"/>
      <c r="AK107" s="7"/>
      <c r="AL107" s="8"/>
      <c r="AM107" s="8"/>
      <c r="AN107" s="7"/>
      <c r="AO107" s="8"/>
      <c r="AP107" s="8"/>
      <c r="AQ107" s="7"/>
      <c r="AR107" s="8"/>
      <c r="AS107" s="8"/>
      <c r="AT107" s="7"/>
      <c r="AU107" s="8"/>
      <c r="AV107" s="8"/>
      <c r="AW107" s="7"/>
      <c r="AX107" s="8"/>
      <c r="AY107" s="8"/>
      <c r="AZ107" s="7"/>
      <c r="BA107" s="8"/>
      <c r="BB107" s="8"/>
      <c r="BC107" s="7"/>
    </row>
    <row r="108" spans="1:55">
      <c r="A108" s="14"/>
      <c r="B108" s="10"/>
      <c r="C108" s="7">
        <f t="shared" si="9"/>
        <v>10</v>
      </c>
      <c r="D108" s="9" t="s">
        <v>531</v>
      </c>
      <c r="E108" s="9" t="s">
        <v>532</v>
      </c>
      <c r="F108" s="13"/>
      <c r="G108" s="8" t="s">
        <v>56</v>
      </c>
      <c r="H108" s="7"/>
      <c r="I108" s="7"/>
      <c r="J108" s="7"/>
      <c r="K108" s="8"/>
      <c r="L108" s="7"/>
      <c r="M108" s="7"/>
      <c r="N108" s="8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8"/>
      <c r="AA108" s="8"/>
      <c r="AB108" s="7"/>
      <c r="AC108" s="8"/>
      <c r="AD108" s="8"/>
      <c r="AE108" s="7"/>
      <c r="AF108" s="8"/>
      <c r="AG108" s="8"/>
      <c r="AH108" s="7"/>
      <c r="AI108" s="8"/>
      <c r="AJ108" s="8"/>
      <c r="AK108" s="7"/>
      <c r="AL108" s="8"/>
      <c r="AM108" s="8"/>
      <c r="AN108" s="7"/>
      <c r="AO108" s="8"/>
      <c r="AP108" s="8"/>
      <c r="AQ108" s="7"/>
      <c r="AR108" s="8"/>
      <c r="AS108" s="8"/>
      <c r="AT108" s="7"/>
      <c r="AU108" s="8"/>
      <c r="AV108" s="8"/>
      <c r="AW108" s="7"/>
      <c r="AX108" s="8"/>
      <c r="AY108" s="8"/>
      <c r="AZ108" s="7"/>
      <c r="BA108" s="8"/>
      <c r="BB108" s="8"/>
      <c r="BC108" s="7"/>
    </row>
    <row r="109" spans="1:55">
      <c r="A109" s="37">
        <v>13</v>
      </c>
      <c r="B109" s="10" t="s">
        <v>543</v>
      </c>
      <c r="C109" s="7">
        <v>1</v>
      </c>
      <c r="D109" s="8" t="s">
        <v>55</v>
      </c>
      <c r="E109" s="9" t="s">
        <v>62</v>
      </c>
      <c r="F109" s="13"/>
      <c r="G109" s="8" t="s">
        <v>61</v>
      </c>
      <c r="H109" s="7"/>
      <c r="I109" s="7"/>
      <c r="J109" s="7" t="s">
        <v>0</v>
      </c>
      <c r="K109" s="8"/>
      <c r="L109" s="7">
        <v>1</v>
      </c>
      <c r="M109" s="7"/>
      <c r="N109" s="8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8"/>
      <c r="AA109" s="8"/>
      <c r="AB109" s="7"/>
      <c r="AC109" s="8"/>
      <c r="AD109" s="8"/>
      <c r="AE109" s="7"/>
      <c r="AF109" s="8"/>
      <c r="AG109" s="8"/>
      <c r="AH109" s="7"/>
      <c r="AI109" s="8"/>
      <c r="AJ109" s="8"/>
      <c r="AK109" s="7"/>
      <c r="AL109" s="8"/>
      <c r="AM109" s="8"/>
      <c r="AN109" s="7"/>
      <c r="AO109" s="8"/>
      <c r="AP109" s="8"/>
      <c r="AQ109" s="7"/>
      <c r="AR109" s="8"/>
      <c r="AS109" s="8"/>
      <c r="AT109" s="7"/>
      <c r="AU109" s="8"/>
      <c r="AV109" s="8"/>
      <c r="AW109" s="7"/>
      <c r="AX109" s="8"/>
      <c r="AY109" s="8"/>
      <c r="AZ109" s="7"/>
      <c r="BA109" s="8"/>
      <c r="BB109" s="8"/>
      <c r="BC109" s="7"/>
    </row>
    <row r="110" spans="1:55">
      <c r="A110" s="14"/>
      <c r="B110" s="10" t="s">
        <v>544</v>
      </c>
      <c r="C110" s="7">
        <f>C109+1</f>
        <v>2</v>
      </c>
      <c r="D110" s="8" t="s">
        <v>230</v>
      </c>
      <c r="E110" s="8" t="s">
        <v>231</v>
      </c>
      <c r="F110" s="13"/>
      <c r="G110" s="8" t="s">
        <v>63</v>
      </c>
      <c r="H110" s="7"/>
      <c r="I110" s="7"/>
      <c r="J110" s="7" t="s">
        <v>0</v>
      </c>
      <c r="K110" s="8"/>
      <c r="L110" s="7"/>
      <c r="M110" s="7">
        <v>1</v>
      </c>
      <c r="N110" s="8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8"/>
      <c r="AA110" s="8"/>
      <c r="AB110" s="7"/>
      <c r="AC110" s="8"/>
      <c r="AD110" s="8"/>
      <c r="AE110" s="7"/>
      <c r="AF110" s="8"/>
      <c r="AG110" s="8"/>
      <c r="AH110" s="7"/>
      <c r="AI110" s="8"/>
      <c r="AJ110" s="8"/>
      <c r="AK110" s="7"/>
      <c r="AL110" s="8"/>
      <c r="AM110" s="8"/>
      <c r="AN110" s="7"/>
      <c r="AO110" s="8"/>
      <c r="AP110" s="8"/>
      <c r="AQ110" s="7"/>
      <c r="AR110" s="8"/>
      <c r="AS110" s="8"/>
      <c r="AT110" s="7"/>
      <c r="AU110" s="8"/>
      <c r="AV110" s="8"/>
      <c r="AW110" s="7"/>
      <c r="AX110" s="8"/>
      <c r="AY110" s="8"/>
      <c r="AZ110" s="7"/>
      <c r="BA110" s="8"/>
      <c r="BB110" s="8"/>
      <c r="BC110" s="7"/>
    </row>
    <row r="111" spans="1:55">
      <c r="A111" s="14"/>
      <c r="B111" s="10"/>
      <c r="C111" s="7">
        <f>C110+1</f>
        <v>3</v>
      </c>
      <c r="D111" s="9" t="s">
        <v>484</v>
      </c>
      <c r="E111" s="8" t="s">
        <v>432</v>
      </c>
      <c r="F111" s="13"/>
      <c r="G111" s="8" t="s">
        <v>63</v>
      </c>
      <c r="H111" s="7"/>
      <c r="I111" s="7"/>
      <c r="J111" s="7" t="s">
        <v>0</v>
      </c>
      <c r="K111" s="8"/>
      <c r="L111" s="7"/>
      <c r="M111" s="7">
        <v>2</v>
      </c>
      <c r="N111" s="8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8"/>
      <c r="AA111" s="8"/>
      <c r="AB111" s="7"/>
      <c r="AC111" s="8"/>
      <c r="AD111" s="8"/>
      <c r="AE111" s="7"/>
      <c r="AF111" s="8"/>
      <c r="AG111" s="8"/>
      <c r="AH111" s="7"/>
      <c r="AI111" s="8"/>
      <c r="AJ111" s="8"/>
      <c r="AK111" s="7"/>
      <c r="AL111" s="8"/>
      <c r="AM111" s="8"/>
      <c r="AN111" s="7"/>
      <c r="AO111" s="8"/>
      <c r="AP111" s="8"/>
      <c r="AQ111" s="7"/>
      <c r="AR111" s="8"/>
      <c r="AS111" s="8"/>
      <c r="AT111" s="7"/>
      <c r="AU111" s="8"/>
      <c r="AV111" s="8"/>
      <c r="AW111" s="7"/>
      <c r="AX111" s="8"/>
      <c r="AY111" s="8"/>
      <c r="AZ111" s="7"/>
      <c r="BA111" s="8"/>
      <c r="BB111" s="8"/>
      <c r="BC111" s="7"/>
    </row>
    <row r="112" spans="1:55">
      <c r="A112" s="14"/>
      <c r="B112" s="10"/>
      <c r="C112" s="7">
        <f>C111+1</f>
        <v>4</v>
      </c>
      <c r="D112" s="9" t="s">
        <v>540</v>
      </c>
      <c r="E112" s="9" t="s">
        <v>541</v>
      </c>
      <c r="F112" s="13"/>
      <c r="G112" s="8" t="s">
        <v>56</v>
      </c>
      <c r="H112" s="7"/>
      <c r="I112" s="7"/>
      <c r="J112" s="7" t="s">
        <v>0</v>
      </c>
      <c r="K112" s="8"/>
      <c r="L112" s="7"/>
      <c r="M112" s="7">
        <v>3</v>
      </c>
      <c r="N112" s="8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8"/>
      <c r="AA112" s="8"/>
      <c r="AB112" s="7"/>
      <c r="AC112" s="8"/>
      <c r="AD112" s="8"/>
      <c r="AE112" s="7"/>
      <c r="AF112" s="8"/>
      <c r="AG112" s="8"/>
      <c r="AH112" s="7"/>
      <c r="AI112" s="8"/>
      <c r="AJ112" s="8"/>
      <c r="AK112" s="7"/>
      <c r="AL112" s="8"/>
      <c r="AM112" s="8"/>
      <c r="AN112" s="7"/>
      <c r="AO112" s="8"/>
      <c r="AP112" s="8"/>
      <c r="AQ112" s="7"/>
      <c r="AR112" s="8"/>
      <c r="AS112" s="8"/>
      <c r="AT112" s="7"/>
      <c r="AU112" s="8"/>
      <c r="AV112" s="8"/>
      <c r="AW112" s="7"/>
      <c r="AX112" s="8"/>
      <c r="AY112" s="8"/>
      <c r="AZ112" s="7"/>
      <c r="BA112" s="8"/>
      <c r="BB112" s="8"/>
      <c r="BC112" s="7"/>
    </row>
    <row r="113" spans="1:55">
      <c r="A113" s="14"/>
      <c r="B113" s="10"/>
      <c r="C113" s="7">
        <f>C112+1</f>
        <v>5</v>
      </c>
      <c r="D113" s="9" t="s">
        <v>113</v>
      </c>
      <c r="E113" s="9" t="s">
        <v>542</v>
      </c>
      <c r="F113" s="13"/>
      <c r="G113" s="8" t="s">
        <v>56</v>
      </c>
      <c r="H113" s="7"/>
      <c r="I113" s="7"/>
      <c r="J113" s="7"/>
      <c r="K113" s="8"/>
      <c r="L113" s="7"/>
      <c r="M113" s="7"/>
      <c r="N113" s="8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8"/>
      <c r="AA113" s="8"/>
      <c r="AB113" s="7"/>
      <c r="AC113" s="8"/>
      <c r="AD113" s="8"/>
      <c r="AE113" s="7"/>
      <c r="AF113" s="8"/>
      <c r="AG113" s="8"/>
      <c r="AH113" s="7"/>
      <c r="AI113" s="8"/>
      <c r="AJ113" s="8"/>
      <c r="AK113" s="7"/>
      <c r="AL113" s="8"/>
      <c r="AM113" s="8"/>
      <c r="AN113" s="7"/>
      <c r="AO113" s="8"/>
      <c r="AP113" s="8"/>
      <c r="AQ113" s="7"/>
      <c r="AR113" s="8"/>
      <c r="AS113" s="8"/>
      <c r="AT113" s="7"/>
      <c r="AU113" s="8"/>
      <c r="AV113" s="8"/>
      <c r="AW113" s="7"/>
      <c r="AX113" s="8"/>
      <c r="AY113" s="8"/>
      <c r="AZ113" s="7"/>
      <c r="BA113" s="8"/>
      <c r="BB113" s="8"/>
      <c r="BC113" s="7"/>
    </row>
    <row r="114" spans="1:55">
      <c r="A114" s="14"/>
      <c r="B114" s="10"/>
      <c r="C114" s="7">
        <v>6</v>
      </c>
      <c r="D114" s="9" t="s">
        <v>547</v>
      </c>
      <c r="E114" s="9" t="s">
        <v>548</v>
      </c>
      <c r="F114" s="13"/>
      <c r="G114" s="8" t="s">
        <v>56</v>
      </c>
      <c r="H114" s="7"/>
      <c r="I114" s="7"/>
      <c r="J114" s="7"/>
      <c r="K114" s="8"/>
      <c r="L114" s="7"/>
      <c r="M114" s="7"/>
      <c r="N114" s="8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8"/>
      <c r="AA114" s="8"/>
      <c r="AB114" s="7"/>
      <c r="AC114" s="8"/>
      <c r="AD114" s="8"/>
      <c r="AE114" s="7"/>
      <c r="AF114" s="8"/>
      <c r="AG114" s="8"/>
      <c r="AH114" s="7"/>
      <c r="AI114" s="8"/>
      <c r="AJ114" s="8"/>
      <c r="AK114" s="7"/>
      <c r="AL114" s="8"/>
      <c r="AM114" s="8"/>
      <c r="AN114" s="7"/>
      <c r="AO114" s="8"/>
      <c r="AP114" s="8"/>
      <c r="AQ114" s="7"/>
      <c r="AR114" s="8"/>
      <c r="AS114" s="8"/>
      <c r="AT114" s="7"/>
      <c r="AU114" s="8"/>
      <c r="AV114" s="8"/>
      <c r="AW114" s="7"/>
      <c r="AX114" s="8"/>
      <c r="AY114" s="8"/>
      <c r="AZ114" s="7"/>
      <c r="BA114" s="8"/>
      <c r="BB114" s="8"/>
      <c r="BC114" s="7"/>
    </row>
    <row r="115" spans="1:55">
      <c r="A115" s="41">
        <v>14</v>
      </c>
      <c r="B115" s="10" t="s">
        <v>351</v>
      </c>
      <c r="C115" s="7">
        <v>1</v>
      </c>
      <c r="D115" s="8" t="s">
        <v>55</v>
      </c>
      <c r="E115" s="9" t="s">
        <v>62</v>
      </c>
      <c r="F115" s="13"/>
      <c r="G115" s="8" t="s">
        <v>61</v>
      </c>
      <c r="H115" s="7"/>
      <c r="I115" s="7"/>
      <c r="J115" s="7" t="s">
        <v>0</v>
      </c>
      <c r="K115" s="8"/>
      <c r="L115" s="7">
        <v>1</v>
      </c>
      <c r="M115" s="7"/>
      <c r="N115" s="8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8"/>
      <c r="AA115" s="8"/>
      <c r="AB115" s="7"/>
      <c r="AC115" s="8"/>
      <c r="AD115" s="8"/>
      <c r="AE115" s="7"/>
      <c r="AF115" s="8"/>
      <c r="AG115" s="8"/>
      <c r="AH115" s="7"/>
      <c r="AI115" s="8"/>
      <c r="AJ115" s="8"/>
      <c r="AK115" s="7"/>
      <c r="AL115" s="8"/>
      <c r="AM115" s="8"/>
      <c r="AN115" s="7"/>
      <c r="AO115" s="8"/>
      <c r="AP115" s="8"/>
      <c r="AQ115" s="7"/>
      <c r="AR115" s="8"/>
      <c r="AS115" s="8"/>
      <c r="AT115" s="7"/>
      <c r="AU115" s="8"/>
      <c r="AV115" s="8"/>
      <c r="AW115" s="7"/>
      <c r="AX115" s="8"/>
      <c r="AY115" s="8"/>
      <c r="AZ115" s="7"/>
      <c r="BA115" s="8"/>
      <c r="BB115" s="8"/>
      <c r="BC115" s="7"/>
    </row>
    <row r="116" spans="1:55">
      <c r="A116" s="14"/>
      <c r="B116" s="10" t="s">
        <v>352</v>
      </c>
      <c r="C116" s="7">
        <f t="shared" ref="C116:C127" si="10">C115+1</f>
        <v>2</v>
      </c>
      <c r="D116" s="8" t="s">
        <v>369</v>
      </c>
      <c r="E116" s="8" t="s">
        <v>362</v>
      </c>
      <c r="F116" s="13"/>
      <c r="G116" s="8" t="s">
        <v>47</v>
      </c>
      <c r="H116" s="7">
        <v>10</v>
      </c>
      <c r="I116" s="7"/>
      <c r="J116" s="7" t="s">
        <v>0</v>
      </c>
      <c r="K116" s="8"/>
      <c r="L116" s="7"/>
      <c r="M116" s="35">
        <v>1</v>
      </c>
      <c r="N116" s="8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8"/>
      <c r="AA116" s="8"/>
      <c r="AB116" s="7"/>
      <c r="AC116" s="8"/>
      <c r="AD116" s="8"/>
      <c r="AE116" s="7"/>
      <c r="AF116" s="8"/>
      <c r="AG116" s="8"/>
      <c r="AH116" s="7"/>
      <c r="AI116" s="8"/>
      <c r="AJ116" s="8"/>
      <c r="AK116" s="7"/>
      <c r="AL116" s="8"/>
      <c r="AM116" s="8"/>
      <c r="AN116" s="7"/>
      <c r="AO116" s="8"/>
      <c r="AP116" s="8"/>
      <c r="AQ116" s="7"/>
      <c r="AR116" s="8"/>
      <c r="AS116" s="8"/>
      <c r="AT116" s="7"/>
      <c r="AU116" s="8"/>
      <c r="AV116" s="8"/>
      <c r="AW116" s="7"/>
      <c r="AX116" s="8"/>
      <c r="AY116" s="8"/>
      <c r="AZ116" s="7"/>
      <c r="BA116" s="8"/>
      <c r="BB116" s="8"/>
      <c r="BC116" s="7"/>
    </row>
    <row r="117" spans="1:55">
      <c r="A117" s="14"/>
      <c r="B117" s="10" t="s">
        <v>349</v>
      </c>
      <c r="C117" s="7">
        <f t="shared" si="10"/>
        <v>3</v>
      </c>
      <c r="D117" s="8" t="s">
        <v>370</v>
      </c>
      <c r="E117" s="8" t="s">
        <v>363</v>
      </c>
      <c r="F117" s="13"/>
      <c r="G117" s="8" t="s">
        <v>48</v>
      </c>
      <c r="H117" s="7">
        <v>50</v>
      </c>
      <c r="I117" s="7"/>
      <c r="J117" s="7"/>
      <c r="K117" s="8"/>
      <c r="L117" s="7"/>
      <c r="M117" s="7"/>
      <c r="N117" s="8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8"/>
      <c r="AA117" s="8"/>
      <c r="AB117" s="7"/>
      <c r="AC117" s="8"/>
      <c r="AD117" s="8"/>
      <c r="AE117" s="7"/>
      <c r="AF117" s="8"/>
      <c r="AG117" s="8"/>
      <c r="AH117" s="7"/>
      <c r="AI117" s="8"/>
      <c r="AJ117" s="8"/>
      <c r="AK117" s="7"/>
      <c r="AL117" s="8"/>
      <c r="AM117" s="8"/>
      <c r="AN117" s="7"/>
      <c r="AO117" s="8"/>
      <c r="AP117" s="8"/>
      <c r="AQ117" s="7"/>
      <c r="AR117" s="8"/>
      <c r="AS117" s="8"/>
      <c r="AT117" s="7"/>
      <c r="AU117" s="8"/>
      <c r="AV117" s="8"/>
      <c r="AW117" s="7"/>
      <c r="AX117" s="8"/>
      <c r="AY117" s="8"/>
      <c r="AZ117" s="7"/>
      <c r="BA117" s="8"/>
      <c r="BB117" s="8"/>
      <c r="BC117" s="7"/>
    </row>
    <row r="118" spans="1:55">
      <c r="A118" s="14"/>
      <c r="B118" s="10"/>
      <c r="C118" s="7">
        <f t="shared" si="10"/>
        <v>4</v>
      </c>
      <c r="D118" s="8" t="s">
        <v>371</v>
      </c>
      <c r="E118" s="8" t="s">
        <v>367</v>
      </c>
      <c r="F118" s="13"/>
      <c r="G118" s="8" t="s">
        <v>48</v>
      </c>
      <c r="H118" s="7">
        <v>40</v>
      </c>
      <c r="I118" s="7"/>
      <c r="J118" s="7"/>
      <c r="K118" s="8"/>
      <c r="L118" s="7"/>
      <c r="M118" s="7"/>
      <c r="N118" s="8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8"/>
      <c r="AA118" s="8"/>
      <c r="AB118" s="7"/>
      <c r="AC118" s="8"/>
      <c r="AD118" s="8"/>
      <c r="AE118" s="7"/>
      <c r="AF118" s="8"/>
      <c r="AG118" s="8"/>
      <c r="AH118" s="7"/>
      <c r="AI118" s="8"/>
      <c r="AJ118" s="8"/>
      <c r="AK118" s="7"/>
      <c r="AL118" s="8"/>
      <c r="AM118" s="8"/>
      <c r="AN118" s="7"/>
      <c r="AO118" s="8"/>
      <c r="AP118" s="8"/>
      <c r="AQ118" s="7"/>
      <c r="AR118" s="8"/>
      <c r="AS118" s="8"/>
      <c r="AT118" s="7"/>
      <c r="AU118" s="8"/>
      <c r="AV118" s="8"/>
      <c r="AW118" s="7"/>
      <c r="AX118" s="8"/>
      <c r="AY118" s="8"/>
      <c r="AZ118" s="7"/>
      <c r="BA118" s="8"/>
      <c r="BB118" s="8"/>
      <c r="BC118" s="7"/>
    </row>
    <row r="119" spans="1:55">
      <c r="A119" s="14"/>
      <c r="B119" s="10"/>
      <c r="C119" s="7">
        <f t="shared" si="10"/>
        <v>5</v>
      </c>
      <c r="D119" s="8" t="s">
        <v>372</v>
      </c>
      <c r="E119" s="8" t="s">
        <v>364</v>
      </c>
      <c r="F119" s="13"/>
      <c r="G119" s="8" t="s">
        <v>48</v>
      </c>
      <c r="H119" s="7">
        <v>200</v>
      </c>
      <c r="I119" s="7"/>
      <c r="J119" s="7"/>
      <c r="K119" s="8"/>
      <c r="L119" s="7"/>
      <c r="M119" s="7"/>
      <c r="N119" s="8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8"/>
      <c r="AA119" s="8"/>
      <c r="AB119" s="7"/>
      <c r="AC119" s="8"/>
      <c r="AD119" s="8"/>
      <c r="AE119" s="7"/>
      <c r="AF119" s="8"/>
      <c r="AG119" s="8"/>
      <c r="AH119" s="7"/>
      <c r="AI119" s="8"/>
      <c r="AJ119" s="8"/>
      <c r="AK119" s="7"/>
      <c r="AL119" s="8"/>
      <c r="AM119" s="8"/>
      <c r="AN119" s="7"/>
      <c r="AO119" s="8"/>
      <c r="AP119" s="8"/>
      <c r="AQ119" s="7"/>
      <c r="AR119" s="8"/>
      <c r="AS119" s="8"/>
      <c r="AT119" s="7"/>
      <c r="AU119" s="8"/>
      <c r="AV119" s="8"/>
      <c r="AW119" s="7"/>
      <c r="AX119" s="8"/>
      <c r="AY119" s="8"/>
      <c r="AZ119" s="7"/>
      <c r="BA119" s="8"/>
      <c r="BB119" s="8"/>
      <c r="BC119" s="7"/>
    </row>
    <row r="120" spans="1:55">
      <c r="A120" s="14"/>
      <c r="B120" s="10"/>
      <c r="C120" s="7">
        <f t="shared" si="10"/>
        <v>6</v>
      </c>
      <c r="D120" s="8" t="s">
        <v>373</v>
      </c>
      <c r="E120" s="8" t="s">
        <v>365</v>
      </c>
      <c r="F120" s="13"/>
      <c r="G120" s="8" t="s">
        <v>48</v>
      </c>
      <c r="H120" s="7">
        <v>200</v>
      </c>
      <c r="I120" s="7"/>
      <c r="J120" s="7"/>
      <c r="K120" s="8"/>
      <c r="L120" s="7"/>
      <c r="M120" s="7"/>
      <c r="N120" s="8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8"/>
      <c r="AA120" s="8"/>
      <c r="AB120" s="7"/>
      <c r="AC120" s="8"/>
      <c r="AD120" s="8"/>
      <c r="AE120" s="7"/>
      <c r="AF120" s="8"/>
      <c r="AG120" s="8"/>
      <c r="AH120" s="7"/>
      <c r="AI120" s="8"/>
      <c r="AJ120" s="8"/>
      <c r="AK120" s="7"/>
      <c r="AL120" s="8"/>
      <c r="AM120" s="8"/>
      <c r="AN120" s="7"/>
      <c r="AO120" s="8"/>
      <c r="AP120" s="8"/>
      <c r="AQ120" s="7"/>
      <c r="AR120" s="8"/>
      <c r="AS120" s="8"/>
      <c r="AT120" s="7"/>
      <c r="AU120" s="8"/>
      <c r="AV120" s="8"/>
      <c r="AW120" s="7"/>
      <c r="AX120" s="8"/>
      <c r="AY120" s="8"/>
      <c r="AZ120" s="7"/>
      <c r="BA120" s="8"/>
      <c r="BB120" s="8"/>
      <c r="BC120" s="7"/>
    </row>
    <row r="121" spans="1:55">
      <c r="A121" s="14"/>
      <c r="B121" s="10"/>
      <c r="C121" s="7">
        <f t="shared" si="10"/>
        <v>7</v>
      </c>
      <c r="D121" s="32" t="s">
        <v>342</v>
      </c>
      <c r="E121" s="8" t="s">
        <v>329</v>
      </c>
      <c r="F121" s="13" t="s">
        <v>388</v>
      </c>
      <c r="G121" s="8" t="s">
        <v>48</v>
      </c>
      <c r="H121" s="7">
        <v>14</v>
      </c>
      <c r="I121" s="7"/>
      <c r="J121" s="7"/>
      <c r="K121" s="8"/>
      <c r="L121" s="7"/>
      <c r="M121" s="7"/>
      <c r="N121" s="8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8"/>
      <c r="AA121" s="8"/>
      <c r="AB121" s="7"/>
      <c r="AC121" s="8"/>
      <c r="AD121" s="8"/>
      <c r="AE121" s="7"/>
      <c r="AF121" s="8"/>
      <c r="AG121" s="8"/>
      <c r="AH121" s="7"/>
      <c r="AI121" s="8"/>
      <c r="AJ121" s="8"/>
      <c r="AK121" s="7"/>
      <c r="AL121" s="8"/>
      <c r="AM121" s="8"/>
      <c r="AN121" s="7"/>
      <c r="AO121" s="8"/>
      <c r="AP121" s="8"/>
      <c r="AQ121" s="7"/>
      <c r="AR121" s="8"/>
      <c r="AS121" s="8"/>
      <c r="AT121" s="7"/>
      <c r="AU121" s="8"/>
      <c r="AV121" s="8"/>
      <c r="AW121" s="7"/>
      <c r="AX121" s="8"/>
      <c r="AY121" s="8"/>
      <c r="AZ121" s="7"/>
      <c r="BA121" s="8"/>
      <c r="BB121" s="8"/>
      <c r="BC121" s="7"/>
    </row>
    <row r="122" spans="1:55">
      <c r="A122" s="14"/>
      <c r="B122" s="10"/>
      <c r="C122" s="7">
        <f t="shared" si="10"/>
        <v>8</v>
      </c>
      <c r="D122" s="8" t="s">
        <v>374</v>
      </c>
      <c r="E122" s="8" t="s">
        <v>366</v>
      </c>
      <c r="F122" s="13"/>
      <c r="G122" s="8" t="s">
        <v>47</v>
      </c>
      <c r="H122" s="7">
        <v>10</v>
      </c>
      <c r="I122" s="7"/>
      <c r="J122" s="7"/>
      <c r="K122" s="8"/>
      <c r="L122" s="7"/>
      <c r="M122" s="7"/>
      <c r="N122" s="8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8"/>
      <c r="AA122" s="8"/>
      <c r="AB122" s="7"/>
      <c r="AC122" s="8"/>
      <c r="AD122" s="8"/>
      <c r="AE122" s="7"/>
      <c r="AF122" s="8"/>
      <c r="AG122" s="8"/>
      <c r="AH122" s="7"/>
      <c r="AI122" s="8"/>
      <c r="AJ122" s="8"/>
      <c r="AK122" s="7"/>
      <c r="AL122" s="8"/>
      <c r="AM122" s="8"/>
      <c r="AN122" s="7"/>
      <c r="AO122" s="8"/>
      <c r="AP122" s="8"/>
      <c r="AQ122" s="7"/>
      <c r="AR122" s="8"/>
      <c r="AS122" s="8"/>
      <c r="AT122" s="7"/>
      <c r="AU122" s="8"/>
      <c r="AV122" s="8"/>
      <c r="AW122" s="7"/>
      <c r="AX122" s="8"/>
      <c r="AY122" s="8"/>
      <c r="AZ122" s="7"/>
      <c r="BA122" s="8"/>
      <c r="BB122" s="8"/>
      <c r="BC122" s="7"/>
    </row>
    <row r="123" spans="1:55">
      <c r="A123" s="14"/>
      <c r="B123" s="10"/>
      <c r="C123" s="7">
        <f t="shared" si="10"/>
        <v>9</v>
      </c>
      <c r="D123" s="8" t="s">
        <v>375</v>
      </c>
      <c r="E123" s="8" t="s">
        <v>368</v>
      </c>
      <c r="F123" s="13"/>
      <c r="G123" s="8" t="s">
        <v>47</v>
      </c>
      <c r="H123" s="7">
        <v>10</v>
      </c>
      <c r="I123" s="7"/>
      <c r="J123" s="7"/>
      <c r="K123" s="8"/>
      <c r="L123" s="7"/>
      <c r="M123" s="7"/>
      <c r="N123" s="8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8"/>
      <c r="AA123" s="8"/>
      <c r="AB123" s="7"/>
      <c r="AC123" s="8"/>
      <c r="AD123" s="8"/>
      <c r="AE123" s="7"/>
      <c r="AF123" s="8"/>
      <c r="AG123" s="8"/>
      <c r="AH123" s="7"/>
      <c r="AI123" s="8"/>
      <c r="AJ123" s="8"/>
      <c r="AK123" s="7"/>
      <c r="AL123" s="8"/>
      <c r="AM123" s="8"/>
      <c r="AN123" s="7"/>
      <c r="AO123" s="8"/>
      <c r="AP123" s="8"/>
      <c r="AQ123" s="7"/>
      <c r="AR123" s="8"/>
      <c r="AS123" s="8"/>
      <c r="AT123" s="7"/>
      <c r="AU123" s="8"/>
      <c r="AV123" s="8"/>
      <c r="AW123" s="7"/>
      <c r="AX123" s="8"/>
      <c r="AY123" s="8"/>
      <c r="AZ123" s="7"/>
      <c r="BA123" s="8"/>
      <c r="BB123" s="8"/>
      <c r="BC123" s="7"/>
    </row>
    <row r="124" spans="1:55">
      <c r="A124" s="14"/>
      <c r="B124" s="10"/>
      <c r="C124" s="7">
        <f t="shared" si="10"/>
        <v>10</v>
      </c>
      <c r="D124" s="42" t="s">
        <v>376</v>
      </c>
      <c r="E124" s="8" t="s">
        <v>380</v>
      </c>
      <c r="F124" s="13" t="s">
        <v>384</v>
      </c>
      <c r="G124" s="8" t="s">
        <v>48</v>
      </c>
      <c r="H124" s="7">
        <v>100</v>
      </c>
      <c r="I124" s="7"/>
      <c r="J124" s="7"/>
      <c r="K124" s="8"/>
      <c r="L124" s="7"/>
      <c r="M124" s="7"/>
      <c r="N124" s="8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8"/>
      <c r="AA124" s="8"/>
      <c r="AB124" s="7"/>
      <c r="AC124" s="8"/>
      <c r="AD124" s="8"/>
      <c r="AE124" s="7"/>
      <c r="AF124" s="8"/>
      <c r="AG124" s="8"/>
      <c r="AH124" s="7"/>
      <c r="AI124" s="8"/>
      <c r="AJ124" s="8"/>
      <c r="AK124" s="7"/>
      <c r="AL124" s="8"/>
      <c r="AM124" s="8"/>
      <c r="AN124" s="7"/>
      <c r="AO124" s="8"/>
      <c r="AP124" s="8"/>
      <c r="AQ124" s="7"/>
      <c r="AR124" s="8"/>
      <c r="AS124" s="8"/>
      <c r="AT124" s="7"/>
      <c r="AU124" s="8"/>
      <c r="AV124" s="8"/>
      <c r="AW124" s="7"/>
      <c r="AX124" s="8"/>
      <c r="AY124" s="8"/>
      <c r="AZ124" s="7"/>
      <c r="BA124" s="8"/>
      <c r="BB124" s="8"/>
      <c r="BC124" s="7"/>
    </row>
    <row r="125" spans="1:55">
      <c r="A125" s="14"/>
      <c r="B125" s="10"/>
      <c r="C125" s="7">
        <f t="shared" si="10"/>
        <v>11</v>
      </c>
      <c r="D125" s="42" t="s">
        <v>377</v>
      </c>
      <c r="E125" s="8" t="s">
        <v>381</v>
      </c>
      <c r="F125" s="13" t="s">
        <v>387</v>
      </c>
      <c r="G125" s="8" t="s">
        <v>48</v>
      </c>
      <c r="H125" s="7">
        <v>100</v>
      </c>
      <c r="I125" s="7"/>
      <c r="J125" s="7"/>
      <c r="K125" s="8"/>
      <c r="L125" s="7"/>
      <c r="M125" s="7"/>
      <c r="N125" s="8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8"/>
      <c r="AA125" s="8"/>
      <c r="AB125" s="7"/>
      <c r="AC125" s="8"/>
      <c r="AD125" s="8"/>
      <c r="AE125" s="7"/>
      <c r="AF125" s="8"/>
      <c r="AG125" s="8"/>
      <c r="AH125" s="7"/>
      <c r="AI125" s="8"/>
      <c r="AJ125" s="8"/>
      <c r="AK125" s="7"/>
      <c r="AL125" s="8"/>
      <c r="AM125" s="8"/>
      <c r="AN125" s="7"/>
      <c r="AO125" s="8"/>
      <c r="AP125" s="8"/>
      <c r="AQ125" s="7"/>
      <c r="AR125" s="8"/>
      <c r="AS125" s="8"/>
      <c r="AT125" s="7"/>
      <c r="AU125" s="8"/>
      <c r="AV125" s="8"/>
      <c r="AW125" s="7"/>
      <c r="AX125" s="8"/>
      <c r="AY125" s="8"/>
      <c r="AZ125" s="7"/>
      <c r="BA125" s="8"/>
      <c r="BB125" s="8"/>
      <c r="BC125" s="7"/>
    </row>
    <row r="126" spans="1:55">
      <c r="A126" s="14"/>
      <c r="B126" s="10"/>
      <c r="C126" s="7">
        <f t="shared" si="10"/>
        <v>12</v>
      </c>
      <c r="D126" s="42" t="s">
        <v>378</v>
      </c>
      <c r="E126" s="8" t="s">
        <v>382</v>
      </c>
      <c r="F126" s="13" t="s">
        <v>385</v>
      </c>
      <c r="G126" s="8" t="s">
        <v>48</v>
      </c>
      <c r="H126" s="7">
        <v>100</v>
      </c>
      <c r="I126" s="7"/>
      <c r="J126" s="7"/>
      <c r="K126" s="8"/>
      <c r="L126" s="7"/>
      <c r="M126" s="7"/>
      <c r="N126" s="8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8"/>
      <c r="AA126" s="8"/>
      <c r="AB126" s="7"/>
      <c r="AC126" s="8"/>
      <c r="AD126" s="8"/>
      <c r="AE126" s="7"/>
      <c r="AF126" s="8"/>
      <c r="AG126" s="8"/>
      <c r="AH126" s="7"/>
      <c r="AI126" s="8"/>
      <c r="AJ126" s="8"/>
      <c r="AK126" s="7"/>
      <c r="AL126" s="8"/>
      <c r="AM126" s="8"/>
      <c r="AN126" s="7"/>
      <c r="AO126" s="8"/>
      <c r="AP126" s="8"/>
      <c r="AQ126" s="7"/>
      <c r="AR126" s="8"/>
      <c r="AS126" s="8"/>
      <c r="AT126" s="7"/>
      <c r="AU126" s="8"/>
      <c r="AV126" s="8"/>
      <c r="AW126" s="7"/>
      <c r="AX126" s="8"/>
      <c r="AY126" s="8"/>
      <c r="AZ126" s="7"/>
      <c r="BA126" s="8"/>
      <c r="BB126" s="8"/>
      <c r="BC126" s="7"/>
    </row>
    <row r="127" spans="1:55">
      <c r="A127" s="14"/>
      <c r="B127" s="10"/>
      <c r="C127" s="7">
        <f t="shared" si="10"/>
        <v>13</v>
      </c>
      <c r="D127" s="42" t="s">
        <v>379</v>
      </c>
      <c r="E127" s="8" t="s">
        <v>383</v>
      </c>
      <c r="F127" s="13" t="s">
        <v>386</v>
      </c>
      <c r="G127" s="8" t="s">
        <v>48</v>
      </c>
      <c r="H127" s="7">
        <v>100</v>
      </c>
      <c r="I127" s="7"/>
      <c r="J127" s="7"/>
      <c r="K127" s="8"/>
      <c r="L127" s="7"/>
      <c r="M127" s="7"/>
      <c r="N127" s="8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8"/>
      <c r="AA127" s="8"/>
      <c r="AB127" s="7"/>
      <c r="AC127" s="8"/>
      <c r="AD127" s="8"/>
      <c r="AE127" s="7"/>
      <c r="AF127" s="8"/>
      <c r="AG127" s="8"/>
      <c r="AH127" s="7"/>
      <c r="AI127" s="8"/>
      <c r="AJ127" s="8"/>
      <c r="AK127" s="7"/>
      <c r="AL127" s="8"/>
      <c r="AM127" s="8"/>
      <c r="AN127" s="7"/>
      <c r="AO127" s="8"/>
      <c r="AP127" s="8"/>
      <c r="AQ127" s="7"/>
      <c r="AR127" s="8"/>
      <c r="AS127" s="8"/>
      <c r="AT127" s="7"/>
      <c r="AU127" s="8"/>
      <c r="AV127" s="8"/>
      <c r="AW127" s="7"/>
      <c r="AX127" s="8"/>
      <c r="AY127" s="8"/>
      <c r="AZ127" s="7"/>
      <c r="BA127" s="8"/>
      <c r="BB127" s="8"/>
      <c r="BC127" s="7"/>
    </row>
    <row r="128" spans="1:55">
      <c r="A128" s="37">
        <v>15</v>
      </c>
      <c r="B128" s="10" t="s">
        <v>282</v>
      </c>
      <c r="C128" s="7">
        <v>1</v>
      </c>
      <c r="D128" s="8" t="s">
        <v>55</v>
      </c>
      <c r="E128" s="9" t="s">
        <v>62</v>
      </c>
      <c r="F128" s="13"/>
      <c r="G128" s="8" t="s">
        <v>61</v>
      </c>
      <c r="H128" s="7"/>
      <c r="I128" s="7"/>
      <c r="J128" s="7" t="s">
        <v>0</v>
      </c>
      <c r="K128" s="8"/>
      <c r="L128" s="7">
        <v>1</v>
      </c>
      <c r="M128" s="7"/>
      <c r="N128" s="8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8"/>
      <c r="AA128" s="8"/>
      <c r="AB128" s="7"/>
      <c r="AC128" s="8"/>
      <c r="AD128" s="8"/>
      <c r="AE128" s="7"/>
      <c r="AF128" s="8"/>
      <c r="AG128" s="8"/>
      <c r="AH128" s="7"/>
      <c r="AI128" s="8"/>
      <c r="AJ128" s="8"/>
      <c r="AK128" s="7"/>
      <c r="AL128" s="8"/>
      <c r="AM128" s="8"/>
      <c r="AN128" s="7"/>
      <c r="AO128" s="8"/>
      <c r="AP128" s="8"/>
      <c r="AQ128" s="7"/>
      <c r="AR128" s="8"/>
      <c r="AS128" s="8"/>
      <c r="AT128" s="7"/>
      <c r="AU128" s="8"/>
      <c r="AV128" s="8"/>
      <c r="AW128" s="7"/>
      <c r="AX128" s="8"/>
      <c r="AY128" s="8"/>
      <c r="AZ128" s="7"/>
      <c r="BA128" s="8"/>
      <c r="BB128" s="8"/>
      <c r="BC128" s="7"/>
    </row>
    <row r="129" spans="1:55">
      <c r="A129" s="14"/>
      <c r="B129" s="10" t="s">
        <v>294</v>
      </c>
      <c r="C129" s="7">
        <f t="shared" ref="C129:C139" si="11">C128+1</f>
        <v>2</v>
      </c>
      <c r="D129" s="8" t="s">
        <v>284</v>
      </c>
      <c r="E129" s="8" t="s">
        <v>314</v>
      </c>
      <c r="F129" s="13" t="s">
        <v>305</v>
      </c>
      <c r="G129" s="8" t="s">
        <v>63</v>
      </c>
      <c r="H129" s="7"/>
      <c r="I129" s="7"/>
      <c r="J129" s="7" t="s">
        <v>0</v>
      </c>
      <c r="K129" s="8"/>
      <c r="L129" s="7"/>
      <c r="M129" s="7">
        <v>1</v>
      </c>
      <c r="N129" s="8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8" t="s">
        <v>391</v>
      </c>
      <c r="AA129" s="8" t="s">
        <v>313</v>
      </c>
      <c r="AB129" s="7" t="s">
        <v>0</v>
      </c>
      <c r="AC129" s="8"/>
      <c r="AD129" s="8"/>
      <c r="AE129" s="7"/>
      <c r="AF129" s="8"/>
      <c r="AG129" s="8"/>
      <c r="AH129" s="7"/>
      <c r="AI129" s="8"/>
      <c r="AJ129" s="8"/>
      <c r="AK129" s="7"/>
      <c r="AL129" s="8"/>
      <c r="AM129" s="8"/>
      <c r="AN129" s="7"/>
      <c r="AO129" s="8"/>
      <c r="AP129" s="8"/>
      <c r="AQ129" s="7"/>
      <c r="AR129" s="8"/>
      <c r="AS129" s="8"/>
      <c r="AT129" s="7"/>
      <c r="AU129" s="8"/>
      <c r="AV129" s="8"/>
      <c r="AW129" s="7"/>
      <c r="AX129" s="8"/>
      <c r="AY129" s="8"/>
      <c r="AZ129" s="7"/>
      <c r="BA129" s="8"/>
      <c r="BB129" s="8"/>
      <c r="BC129" s="7"/>
    </row>
    <row r="130" spans="1:55">
      <c r="A130" s="14"/>
      <c r="B130" s="10" t="s">
        <v>349</v>
      </c>
      <c r="C130" s="7">
        <f t="shared" si="11"/>
        <v>3</v>
      </c>
      <c r="D130" s="8" t="s">
        <v>283</v>
      </c>
      <c r="E130" s="8" t="s">
        <v>155</v>
      </c>
      <c r="F130" s="13" t="s">
        <v>301</v>
      </c>
      <c r="G130" s="8" t="s">
        <v>48</v>
      </c>
      <c r="H130" s="7">
        <v>4</v>
      </c>
      <c r="I130" s="7"/>
      <c r="J130" s="7" t="s">
        <v>0</v>
      </c>
      <c r="K130" s="8"/>
      <c r="L130" s="7"/>
      <c r="M130" s="7">
        <v>2</v>
      </c>
      <c r="N130" s="8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8"/>
      <c r="AA130" s="8"/>
      <c r="AB130" s="7"/>
      <c r="AC130" s="8"/>
      <c r="AD130" s="8"/>
      <c r="AE130" s="7"/>
      <c r="AF130" s="8"/>
      <c r="AG130" s="8"/>
      <c r="AH130" s="7"/>
      <c r="AI130" s="8"/>
      <c r="AJ130" s="8"/>
      <c r="AK130" s="7"/>
      <c r="AL130" s="8"/>
      <c r="AM130" s="8"/>
      <c r="AN130" s="7"/>
      <c r="AO130" s="8"/>
      <c r="AP130" s="8"/>
      <c r="AQ130" s="7"/>
      <c r="AR130" s="8"/>
      <c r="AS130" s="8"/>
      <c r="AT130" s="7"/>
      <c r="AU130" s="8"/>
      <c r="AV130" s="8"/>
      <c r="AW130" s="7"/>
      <c r="AX130" s="8"/>
      <c r="AY130" s="8"/>
      <c r="AZ130" s="7"/>
      <c r="BA130" s="8"/>
      <c r="BB130" s="8"/>
      <c r="BC130" s="7"/>
    </row>
    <row r="131" spans="1:55">
      <c r="A131" s="14"/>
      <c r="B131" s="10"/>
      <c r="C131" s="7">
        <f t="shared" si="11"/>
        <v>4</v>
      </c>
      <c r="D131" s="8" t="s">
        <v>285</v>
      </c>
      <c r="E131" s="8" t="s">
        <v>353</v>
      </c>
      <c r="F131" s="13" t="s">
        <v>302</v>
      </c>
      <c r="G131" s="8" t="s">
        <v>56</v>
      </c>
      <c r="H131" s="7"/>
      <c r="I131" s="7"/>
      <c r="J131" s="7"/>
      <c r="K131" s="8"/>
      <c r="L131" s="7"/>
      <c r="M131" s="7"/>
      <c r="N131" s="8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8"/>
      <c r="AA131" s="8"/>
      <c r="AB131" s="7"/>
      <c r="AC131" s="8"/>
      <c r="AD131" s="8"/>
      <c r="AE131" s="7"/>
      <c r="AF131" s="8"/>
      <c r="AG131" s="8"/>
      <c r="AH131" s="7"/>
      <c r="AI131" s="8"/>
      <c r="AJ131" s="8"/>
      <c r="AK131" s="7"/>
      <c r="AL131" s="8"/>
      <c r="AM131" s="8"/>
      <c r="AN131" s="7"/>
      <c r="AO131" s="8"/>
      <c r="AP131" s="8"/>
      <c r="AQ131" s="7"/>
      <c r="AR131" s="8"/>
      <c r="AS131" s="8"/>
      <c r="AT131" s="7"/>
      <c r="AU131" s="8"/>
      <c r="AV131" s="8"/>
      <c r="AW131" s="7"/>
      <c r="AX131" s="8"/>
      <c r="AY131" s="8"/>
      <c r="AZ131" s="7"/>
      <c r="BA131" s="8"/>
      <c r="BB131" s="8"/>
      <c r="BC131" s="7"/>
    </row>
    <row r="132" spans="1:55">
      <c r="A132" s="14"/>
      <c r="B132" s="10"/>
      <c r="C132" s="7">
        <f t="shared" si="11"/>
        <v>5</v>
      </c>
      <c r="D132" s="8" t="s">
        <v>286</v>
      </c>
      <c r="E132" s="8" t="s">
        <v>354</v>
      </c>
      <c r="F132" s="13" t="s">
        <v>303</v>
      </c>
      <c r="G132" s="8" t="s">
        <v>56</v>
      </c>
      <c r="H132" s="7"/>
      <c r="I132" s="7"/>
      <c r="J132" s="7"/>
      <c r="K132" s="8"/>
      <c r="L132" s="7"/>
      <c r="M132" s="7"/>
      <c r="N132" s="8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8"/>
      <c r="AA132" s="8"/>
      <c r="AB132" s="7"/>
      <c r="AC132" s="8"/>
      <c r="AD132" s="8"/>
      <c r="AE132" s="7"/>
      <c r="AF132" s="8"/>
      <c r="AG132" s="8"/>
      <c r="AH132" s="7"/>
      <c r="AI132" s="8"/>
      <c r="AJ132" s="8"/>
      <c r="AK132" s="7"/>
      <c r="AL132" s="8"/>
      <c r="AM132" s="8"/>
      <c r="AN132" s="7"/>
      <c r="AO132" s="8"/>
      <c r="AP132" s="8"/>
      <c r="AQ132" s="7"/>
      <c r="AR132" s="8"/>
      <c r="AS132" s="8"/>
      <c r="AT132" s="7"/>
      <c r="AU132" s="8"/>
      <c r="AV132" s="8"/>
      <c r="AW132" s="7"/>
      <c r="AX132" s="8"/>
      <c r="AY132" s="8"/>
      <c r="AZ132" s="7"/>
      <c r="BA132" s="8"/>
      <c r="BB132" s="8"/>
      <c r="BC132" s="7"/>
    </row>
    <row r="133" spans="1:55">
      <c r="A133" s="14"/>
      <c r="B133" s="10"/>
      <c r="C133" s="7">
        <f t="shared" si="11"/>
        <v>6</v>
      </c>
      <c r="D133" s="8" t="s">
        <v>287</v>
      </c>
      <c r="E133" s="8" t="s">
        <v>355</v>
      </c>
      <c r="F133" s="13" t="s">
        <v>304</v>
      </c>
      <c r="G133" s="8" t="s">
        <v>56</v>
      </c>
      <c r="H133" s="7"/>
      <c r="I133" s="7"/>
      <c r="J133" s="7"/>
      <c r="K133" s="8"/>
      <c r="L133" s="7"/>
      <c r="M133" s="7"/>
      <c r="N133" s="8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8"/>
      <c r="AA133" s="8"/>
      <c r="AB133" s="7"/>
      <c r="AC133" s="8"/>
      <c r="AD133" s="8"/>
      <c r="AE133" s="7"/>
      <c r="AF133" s="8"/>
      <c r="AG133" s="8"/>
      <c r="AH133" s="7"/>
      <c r="AI133" s="8"/>
      <c r="AJ133" s="8"/>
      <c r="AK133" s="7"/>
      <c r="AL133" s="8"/>
      <c r="AM133" s="8"/>
      <c r="AN133" s="7"/>
      <c r="AO133" s="8"/>
      <c r="AP133" s="8"/>
      <c r="AQ133" s="7"/>
      <c r="AR133" s="8"/>
      <c r="AS133" s="8"/>
      <c r="AT133" s="7"/>
      <c r="AU133" s="8"/>
      <c r="AV133" s="8"/>
      <c r="AW133" s="7"/>
      <c r="AX133" s="8"/>
      <c r="AY133" s="8"/>
      <c r="AZ133" s="7"/>
      <c r="BA133" s="8"/>
      <c r="BB133" s="8"/>
      <c r="BC133" s="7"/>
    </row>
    <row r="134" spans="1:55">
      <c r="A134" s="14"/>
      <c r="B134" s="10"/>
      <c r="C134" s="7">
        <f t="shared" si="11"/>
        <v>7</v>
      </c>
      <c r="D134" s="8" t="s">
        <v>288</v>
      </c>
      <c r="E134" s="8" t="s">
        <v>356</v>
      </c>
      <c r="F134" s="13" t="s">
        <v>300</v>
      </c>
      <c r="G134" s="8" t="s">
        <v>48</v>
      </c>
      <c r="H134" s="7">
        <v>200</v>
      </c>
      <c r="I134" s="7"/>
      <c r="J134" s="7"/>
      <c r="K134" s="8"/>
      <c r="L134" s="7"/>
      <c r="M134" s="7"/>
      <c r="N134" s="8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8"/>
      <c r="AA134" s="8"/>
      <c r="AB134" s="7"/>
      <c r="AC134" s="8"/>
      <c r="AD134" s="8"/>
      <c r="AE134" s="7"/>
      <c r="AF134" s="8"/>
      <c r="AG134" s="8"/>
      <c r="AH134" s="7"/>
      <c r="AI134" s="8"/>
      <c r="AJ134" s="8"/>
      <c r="AK134" s="7"/>
      <c r="AL134" s="8"/>
      <c r="AM134" s="8"/>
      <c r="AN134" s="7"/>
      <c r="AO134" s="8"/>
      <c r="AP134" s="8"/>
      <c r="AQ134" s="7"/>
      <c r="AR134" s="8"/>
      <c r="AS134" s="8"/>
      <c r="AT134" s="7"/>
      <c r="AU134" s="8"/>
      <c r="AV134" s="8"/>
      <c r="AW134" s="7"/>
      <c r="AX134" s="8"/>
      <c r="AY134" s="8"/>
      <c r="AZ134" s="7"/>
      <c r="BA134" s="8"/>
      <c r="BB134" s="8"/>
      <c r="BC134" s="7"/>
    </row>
    <row r="135" spans="1:55">
      <c r="A135" s="14"/>
      <c r="B135" s="10"/>
      <c r="C135" s="7">
        <f t="shared" si="11"/>
        <v>8</v>
      </c>
      <c r="D135" s="8" t="s">
        <v>289</v>
      </c>
      <c r="E135" s="8" t="s">
        <v>357</v>
      </c>
      <c r="F135" s="13" t="s">
        <v>295</v>
      </c>
      <c r="G135" s="8" t="s">
        <v>48</v>
      </c>
      <c r="H135" s="7">
        <v>200</v>
      </c>
      <c r="I135" s="7"/>
      <c r="J135" s="7"/>
      <c r="K135" s="8"/>
      <c r="L135" s="7"/>
      <c r="M135" s="7"/>
      <c r="N135" s="8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8"/>
      <c r="AA135" s="8"/>
      <c r="AB135" s="7"/>
      <c r="AC135" s="8"/>
      <c r="AD135" s="8"/>
      <c r="AE135" s="7"/>
      <c r="AF135" s="8"/>
      <c r="AG135" s="8"/>
      <c r="AH135" s="7"/>
      <c r="AI135" s="8"/>
      <c r="AJ135" s="8"/>
      <c r="AK135" s="7"/>
      <c r="AL135" s="8"/>
      <c r="AM135" s="8"/>
      <c r="AN135" s="7"/>
      <c r="AO135" s="8"/>
      <c r="AP135" s="8"/>
      <c r="AQ135" s="7"/>
      <c r="AR135" s="8"/>
      <c r="AS135" s="8"/>
      <c r="AT135" s="7"/>
      <c r="AU135" s="8"/>
      <c r="AV135" s="8"/>
      <c r="AW135" s="7"/>
      <c r="AX135" s="8"/>
      <c r="AY135" s="8"/>
      <c r="AZ135" s="7"/>
      <c r="BA135" s="8"/>
      <c r="BB135" s="8"/>
      <c r="BC135" s="7"/>
    </row>
    <row r="136" spans="1:55">
      <c r="A136" s="14"/>
      <c r="B136" s="10"/>
      <c r="C136" s="7">
        <f t="shared" si="11"/>
        <v>9</v>
      </c>
      <c r="D136" s="8" t="s">
        <v>290</v>
      </c>
      <c r="E136" s="8" t="s">
        <v>358</v>
      </c>
      <c r="F136" s="13" t="s">
        <v>296</v>
      </c>
      <c r="G136" s="8" t="s">
        <v>48</v>
      </c>
      <c r="H136" s="7">
        <v>200</v>
      </c>
      <c r="I136" s="7"/>
      <c r="J136" s="7"/>
      <c r="K136" s="8"/>
      <c r="L136" s="7"/>
      <c r="M136" s="7"/>
      <c r="N136" s="8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8"/>
      <c r="AA136" s="8"/>
      <c r="AB136" s="7"/>
      <c r="AC136" s="8"/>
      <c r="AD136" s="8"/>
      <c r="AE136" s="7"/>
      <c r="AF136" s="8"/>
      <c r="AG136" s="8"/>
      <c r="AH136" s="7"/>
      <c r="AI136" s="8"/>
      <c r="AJ136" s="8"/>
      <c r="AK136" s="7"/>
      <c r="AL136" s="8"/>
      <c r="AM136" s="8"/>
      <c r="AN136" s="7"/>
      <c r="AO136" s="8"/>
      <c r="AP136" s="8"/>
      <c r="AQ136" s="7"/>
      <c r="AR136" s="8"/>
      <c r="AS136" s="8"/>
      <c r="AT136" s="7"/>
      <c r="AU136" s="8"/>
      <c r="AV136" s="8"/>
      <c r="AW136" s="7"/>
      <c r="AX136" s="8"/>
      <c r="AY136" s="8"/>
      <c r="AZ136" s="7"/>
      <c r="BA136" s="8"/>
      <c r="BB136" s="8"/>
      <c r="BC136" s="7"/>
    </row>
    <row r="137" spans="1:55">
      <c r="A137" s="14"/>
      <c r="B137" s="10"/>
      <c r="C137" s="7">
        <f t="shared" si="11"/>
        <v>10</v>
      </c>
      <c r="D137" s="8" t="s">
        <v>291</v>
      </c>
      <c r="E137" s="8" t="s">
        <v>359</v>
      </c>
      <c r="F137" s="13" t="s">
        <v>297</v>
      </c>
      <c r="G137" s="8" t="s">
        <v>48</v>
      </c>
      <c r="H137" s="7">
        <v>200</v>
      </c>
      <c r="I137" s="7"/>
      <c r="J137" s="7"/>
      <c r="K137" s="8"/>
      <c r="L137" s="7"/>
      <c r="M137" s="7"/>
      <c r="N137" s="8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8"/>
      <c r="AA137" s="8"/>
      <c r="AB137" s="7"/>
      <c r="AC137" s="8"/>
      <c r="AD137" s="8"/>
      <c r="AE137" s="7"/>
      <c r="AF137" s="8"/>
      <c r="AG137" s="8"/>
      <c r="AH137" s="7"/>
      <c r="AI137" s="8"/>
      <c r="AJ137" s="8"/>
      <c r="AK137" s="7"/>
      <c r="AL137" s="8"/>
      <c r="AM137" s="8"/>
      <c r="AN137" s="7"/>
      <c r="AO137" s="8"/>
      <c r="AP137" s="8"/>
      <c r="AQ137" s="7"/>
      <c r="AR137" s="8"/>
      <c r="AS137" s="8"/>
      <c r="AT137" s="7"/>
      <c r="AU137" s="8"/>
      <c r="AV137" s="8"/>
      <c r="AW137" s="7"/>
      <c r="AX137" s="8"/>
      <c r="AY137" s="8"/>
      <c r="AZ137" s="7"/>
      <c r="BA137" s="8"/>
      <c r="BB137" s="8"/>
      <c r="BC137" s="7"/>
    </row>
    <row r="138" spans="1:55">
      <c r="A138" s="14"/>
      <c r="B138" s="10"/>
      <c r="C138" s="7">
        <f t="shared" si="11"/>
        <v>11</v>
      </c>
      <c r="D138" s="8" t="s">
        <v>292</v>
      </c>
      <c r="E138" s="8" t="s">
        <v>360</v>
      </c>
      <c r="F138" s="13" t="s">
        <v>298</v>
      </c>
      <c r="G138" s="8" t="s">
        <v>48</v>
      </c>
      <c r="H138" s="7">
        <v>200</v>
      </c>
      <c r="I138" s="7"/>
      <c r="J138" s="7"/>
      <c r="K138" s="8"/>
      <c r="L138" s="7"/>
      <c r="M138" s="7"/>
      <c r="N138" s="8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8"/>
      <c r="AA138" s="8"/>
      <c r="AB138" s="7"/>
      <c r="AC138" s="8"/>
      <c r="AD138" s="8"/>
      <c r="AE138" s="7"/>
      <c r="AF138" s="8"/>
      <c r="AG138" s="8"/>
      <c r="AH138" s="7"/>
      <c r="AI138" s="8"/>
      <c r="AJ138" s="8"/>
      <c r="AK138" s="7"/>
      <c r="AL138" s="8"/>
      <c r="AM138" s="8"/>
      <c r="AN138" s="7"/>
      <c r="AO138" s="8"/>
      <c r="AP138" s="8"/>
      <c r="AQ138" s="7"/>
      <c r="AR138" s="8"/>
      <c r="AS138" s="8"/>
      <c r="AT138" s="7"/>
      <c r="AU138" s="8"/>
      <c r="AV138" s="8"/>
      <c r="AW138" s="7"/>
      <c r="AX138" s="8"/>
      <c r="AY138" s="8"/>
      <c r="AZ138" s="7"/>
      <c r="BA138" s="8"/>
      <c r="BB138" s="8"/>
      <c r="BC138" s="7"/>
    </row>
    <row r="139" spans="1:55">
      <c r="A139" s="14"/>
      <c r="B139" s="10"/>
      <c r="C139" s="7">
        <f t="shared" si="11"/>
        <v>12</v>
      </c>
      <c r="D139" s="8" t="s">
        <v>293</v>
      </c>
      <c r="E139" s="8" t="s">
        <v>361</v>
      </c>
      <c r="F139" s="13" t="s">
        <v>299</v>
      </c>
      <c r="G139" s="8" t="s">
        <v>48</v>
      </c>
      <c r="H139" s="7">
        <v>200</v>
      </c>
      <c r="I139" s="7"/>
      <c r="J139" s="7"/>
      <c r="K139" s="8"/>
      <c r="L139" s="7"/>
      <c r="M139" s="7"/>
      <c r="N139" s="8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8"/>
      <c r="AA139" s="8"/>
      <c r="AB139" s="7"/>
      <c r="AC139" s="8"/>
      <c r="AD139" s="8"/>
      <c r="AE139" s="7"/>
      <c r="AF139" s="8"/>
      <c r="AG139" s="8"/>
      <c r="AH139" s="7"/>
      <c r="AI139" s="8"/>
      <c r="AJ139" s="8"/>
      <c r="AK139" s="7"/>
      <c r="AL139" s="8"/>
      <c r="AM139" s="8"/>
      <c r="AN139" s="7"/>
      <c r="AO139" s="8"/>
      <c r="AP139" s="8"/>
      <c r="AQ139" s="7"/>
      <c r="AR139" s="8"/>
      <c r="AS139" s="8"/>
      <c r="AT139" s="7"/>
      <c r="AU139" s="8"/>
      <c r="AV139" s="8"/>
      <c r="AW139" s="7"/>
      <c r="AX139" s="8"/>
      <c r="AY139" s="8"/>
      <c r="AZ139" s="7"/>
      <c r="BA139" s="8"/>
      <c r="BB139" s="8"/>
      <c r="BC139" s="7"/>
    </row>
    <row r="140" spans="1:55">
      <c r="A140" s="14">
        <v>16</v>
      </c>
      <c r="B140" s="10" t="s">
        <v>317</v>
      </c>
      <c r="C140" s="7">
        <v>1</v>
      </c>
      <c r="D140" s="8" t="s">
        <v>55</v>
      </c>
      <c r="E140" s="9" t="s">
        <v>62</v>
      </c>
      <c r="F140" s="13"/>
      <c r="G140" s="8" t="s">
        <v>61</v>
      </c>
      <c r="H140" s="7"/>
      <c r="I140" s="7"/>
      <c r="J140" s="7" t="s">
        <v>0</v>
      </c>
      <c r="K140" s="8"/>
      <c r="L140" s="7">
        <v>1</v>
      </c>
      <c r="M140" s="7"/>
      <c r="N140" s="8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8"/>
      <c r="AA140" s="8"/>
      <c r="AB140" s="7"/>
      <c r="AC140" s="8"/>
      <c r="AD140" s="8"/>
      <c r="AE140" s="7"/>
      <c r="AF140" s="8"/>
      <c r="AG140" s="8"/>
      <c r="AH140" s="7"/>
      <c r="AI140" s="8"/>
      <c r="AJ140" s="8"/>
      <c r="AK140" s="7"/>
      <c r="AL140" s="8"/>
      <c r="AM140" s="8"/>
      <c r="AN140" s="7"/>
      <c r="AO140" s="8"/>
      <c r="AP140" s="8"/>
      <c r="AQ140" s="7"/>
      <c r="AR140" s="8"/>
      <c r="AS140" s="8"/>
      <c r="AT140" s="7"/>
      <c r="AU140" s="8"/>
      <c r="AV140" s="8"/>
      <c r="AW140" s="7"/>
      <c r="AX140" s="8"/>
      <c r="AY140" s="8"/>
      <c r="AZ140" s="7"/>
      <c r="BA140" s="8"/>
      <c r="BB140" s="8"/>
      <c r="BC140" s="7"/>
    </row>
    <row r="141" spans="1:55">
      <c r="A141" s="14"/>
      <c r="B141" s="10" t="s">
        <v>320</v>
      </c>
      <c r="C141" s="7">
        <f t="shared" ref="C141:C154" si="12">C140+1</f>
        <v>2</v>
      </c>
      <c r="D141" s="8" t="s">
        <v>334</v>
      </c>
      <c r="E141" s="8" t="s">
        <v>321</v>
      </c>
      <c r="F141" s="13"/>
      <c r="G141" s="8" t="s">
        <v>47</v>
      </c>
      <c r="H141" s="7">
        <v>4</v>
      </c>
      <c r="I141" s="7"/>
      <c r="J141" s="7"/>
      <c r="K141" s="8"/>
      <c r="L141" s="7"/>
      <c r="M141" s="35">
        <v>1</v>
      </c>
      <c r="N141" s="8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8"/>
      <c r="AA141" s="8"/>
      <c r="AB141" s="7"/>
      <c r="AC141" s="8"/>
      <c r="AD141" s="8"/>
      <c r="AE141" s="7"/>
      <c r="AF141" s="8"/>
      <c r="AG141" s="8"/>
      <c r="AH141" s="7"/>
      <c r="AI141" s="8"/>
      <c r="AJ141" s="8"/>
      <c r="AK141" s="7"/>
      <c r="AL141" s="8"/>
      <c r="AM141" s="8"/>
      <c r="AN141" s="7"/>
      <c r="AO141" s="8"/>
      <c r="AP141" s="8"/>
      <c r="AQ141" s="7"/>
      <c r="AR141" s="8"/>
      <c r="AS141" s="8"/>
      <c r="AT141" s="7"/>
      <c r="AU141" s="8"/>
      <c r="AV141" s="8"/>
      <c r="AW141" s="7"/>
      <c r="AX141" s="8"/>
      <c r="AY141" s="8"/>
      <c r="AZ141" s="7"/>
      <c r="BA141" s="8"/>
      <c r="BB141" s="8"/>
      <c r="BC141" s="7"/>
    </row>
    <row r="142" spans="1:55">
      <c r="A142" s="14"/>
      <c r="B142" s="10"/>
      <c r="C142" s="7">
        <f t="shared" si="12"/>
        <v>3</v>
      </c>
      <c r="D142" s="8" t="s">
        <v>335</v>
      </c>
      <c r="E142" s="8" t="s">
        <v>322</v>
      </c>
      <c r="F142" s="13"/>
      <c r="G142" s="8" t="s">
        <v>63</v>
      </c>
      <c r="H142" s="7"/>
      <c r="I142" s="7"/>
      <c r="J142" s="7"/>
      <c r="K142" s="8"/>
      <c r="L142" s="7"/>
      <c r="M142" s="7"/>
      <c r="N142" s="8"/>
      <c r="O142" s="7"/>
      <c r="P142" s="7">
        <v>1</v>
      </c>
      <c r="Q142" s="7"/>
      <c r="R142" s="7"/>
      <c r="S142" s="7"/>
      <c r="T142" s="7"/>
      <c r="U142" s="7"/>
      <c r="V142" s="7"/>
      <c r="W142" s="7"/>
      <c r="X142" s="7"/>
      <c r="Y142" s="7"/>
      <c r="Z142" s="8"/>
      <c r="AA142" s="8"/>
      <c r="AB142" s="7"/>
      <c r="AC142" s="8"/>
      <c r="AD142" s="8"/>
      <c r="AE142" s="7"/>
      <c r="AF142" s="8"/>
      <c r="AG142" s="8"/>
      <c r="AH142" s="7"/>
      <c r="AI142" s="8"/>
      <c r="AJ142" s="8"/>
      <c r="AK142" s="7"/>
      <c r="AL142" s="8"/>
      <c r="AM142" s="8"/>
      <c r="AN142" s="7"/>
      <c r="AO142" s="8"/>
      <c r="AP142" s="8"/>
      <c r="AQ142" s="7"/>
      <c r="AR142" s="8"/>
      <c r="AS142" s="8"/>
      <c r="AT142" s="7"/>
      <c r="AU142" s="8"/>
      <c r="AV142" s="8"/>
      <c r="AW142" s="7"/>
      <c r="AX142" s="8"/>
      <c r="AY142" s="8"/>
      <c r="AZ142" s="7"/>
      <c r="BA142" s="8"/>
      <c r="BB142" s="8"/>
      <c r="BC142" s="7"/>
    </row>
    <row r="143" spans="1:55">
      <c r="A143" s="14"/>
      <c r="B143" s="10"/>
      <c r="C143" s="7">
        <f t="shared" si="12"/>
        <v>4</v>
      </c>
      <c r="D143" s="8" t="s">
        <v>336</v>
      </c>
      <c r="E143" s="8" t="s">
        <v>323</v>
      </c>
      <c r="F143" s="13"/>
      <c r="G143" s="8" t="s">
        <v>63</v>
      </c>
      <c r="H143" s="7"/>
      <c r="I143" s="7"/>
      <c r="J143" s="7"/>
      <c r="K143" s="8"/>
      <c r="L143" s="7"/>
      <c r="M143" s="7"/>
      <c r="N143" s="8"/>
      <c r="O143" s="7"/>
      <c r="P143" s="7"/>
      <c r="Q143" s="7">
        <v>1</v>
      </c>
      <c r="R143" s="7"/>
      <c r="S143" s="7"/>
      <c r="T143" s="7"/>
      <c r="U143" s="7"/>
      <c r="V143" s="7"/>
      <c r="W143" s="7"/>
      <c r="X143" s="7"/>
      <c r="Y143" s="7"/>
      <c r="Z143" s="8"/>
      <c r="AA143" s="8"/>
      <c r="AB143" s="7"/>
      <c r="AC143" s="8"/>
      <c r="AD143" s="8"/>
      <c r="AE143" s="7"/>
      <c r="AF143" s="8"/>
      <c r="AG143" s="8"/>
      <c r="AH143" s="7"/>
      <c r="AI143" s="8"/>
      <c r="AJ143" s="8"/>
      <c r="AK143" s="7"/>
      <c r="AL143" s="8"/>
      <c r="AM143" s="8"/>
      <c r="AN143" s="7"/>
      <c r="AO143" s="8"/>
      <c r="AP143" s="8"/>
      <c r="AQ143" s="7"/>
      <c r="AR143" s="8"/>
      <c r="AS143" s="8"/>
      <c r="AT143" s="7"/>
      <c r="AU143" s="8"/>
      <c r="AV143" s="8"/>
      <c r="AW143" s="7"/>
      <c r="AX143" s="8"/>
      <c r="AY143" s="8"/>
      <c r="AZ143" s="7"/>
      <c r="BA143" s="8"/>
      <c r="BB143" s="8"/>
      <c r="BC143" s="7"/>
    </row>
    <row r="144" spans="1:55">
      <c r="A144" s="14"/>
      <c r="B144" s="10"/>
      <c r="C144" s="7">
        <f t="shared" si="12"/>
        <v>5</v>
      </c>
      <c r="D144" s="8" t="s">
        <v>337</v>
      </c>
      <c r="E144" s="8" t="s">
        <v>324</v>
      </c>
      <c r="F144" s="13"/>
      <c r="G144" s="8" t="s">
        <v>63</v>
      </c>
      <c r="H144" s="7"/>
      <c r="I144" s="7"/>
      <c r="J144" s="7"/>
      <c r="K144" s="8"/>
      <c r="L144" s="7"/>
      <c r="M144" s="7"/>
      <c r="N144" s="8"/>
      <c r="O144" s="7"/>
      <c r="P144" s="7"/>
      <c r="Q144" s="7"/>
      <c r="R144" s="7">
        <v>1</v>
      </c>
      <c r="S144" s="7"/>
      <c r="T144" s="7"/>
      <c r="U144" s="7"/>
      <c r="V144" s="7"/>
      <c r="W144" s="7"/>
      <c r="X144" s="7"/>
      <c r="Y144" s="7"/>
      <c r="Z144" s="8"/>
      <c r="AA144" s="8"/>
      <c r="AB144" s="7"/>
      <c r="AC144" s="8"/>
      <c r="AD144" s="8"/>
      <c r="AE144" s="7"/>
      <c r="AF144" s="8"/>
      <c r="AG144" s="8"/>
      <c r="AH144" s="7"/>
      <c r="AI144" s="8"/>
      <c r="AJ144" s="8"/>
      <c r="AK144" s="7"/>
      <c r="AL144" s="8"/>
      <c r="AM144" s="8"/>
      <c r="AN144" s="7"/>
      <c r="AO144" s="8"/>
      <c r="AP144" s="8"/>
      <c r="AQ144" s="7"/>
      <c r="AR144" s="8"/>
      <c r="AS144" s="8"/>
      <c r="AT144" s="7"/>
      <c r="AU144" s="8"/>
      <c r="AV144" s="8"/>
      <c r="AW144" s="7"/>
      <c r="AX144" s="8"/>
      <c r="AY144" s="8"/>
      <c r="AZ144" s="7"/>
      <c r="BA144" s="8"/>
      <c r="BB144" s="8"/>
      <c r="BC144" s="7"/>
    </row>
    <row r="145" spans="1:55">
      <c r="A145" s="14"/>
      <c r="B145" s="10"/>
      <c r="C145" s="7">
        <f t="shared" si="12"/>
        <v>6</v>
      </c>
      <c r="D145" s="8" t="s">
        <v>338</v>
      </c>
      <c r="E145" s="8" t="s">
        <v>325</v>
      </c>
      <c r="F145" s="13"/>
      <c r="G145" s="8" t="s">
        <v>52</v>
      </c>
      <c r="H145" s="7"/>
      <c r="I145" s="7"/>
      <c r="J145" s="7"/>
      <c r="K145" s="8"/>
      <c r="L145" s="7"/>
      <c r="M145" s="7"/>
      <c r="N145" s="8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8"/>
      <c r="AA145" s="8"/>
      <c r="AB145" s="7"/>
      <c r="AC145" s="8"/>
      <c r="AD145" s="8"/>
      <c r="AE145" s="7"/>
      <c r="AF145" s="8"/>
      <c r="AG145" s="8"/>
      <c r="AH145" s="7"/>
      <c r="AI145" s="8"/>
      <c r="AJ145" s="8"/>
      <c r="AK145" s="7"/>
      <c r="AL145" s="8"/>
      <c r="AM145" s="8"/>
      <c r="AN145" s="7"/>
      <c r="AO145" s="8"/>
      <c r="AP145" s="8"/>
      <c r="AQ145" s="7"/>
      <c r="AR145" s="8"/>
      <c r="AS145" s="8"/>
      <c r="AT145" s="7"/>
      <c r="AU145" s="8"/>
      <c r="AV145" s="8"/>
      <c r="AW145" s="7"/>
      <c r="AX145" s="8"/>
      <c r="AY145" s="8"/>
      <c r="AZ145" s="7"/>
      <c r="BA145" s="8"/>
      <c r="BB145" s="8"/>
      <c r="BC145" s="7"/>
    </row>
    <row r="146" spans="1:55">
      <c r="A146" s="14"/>
      <c r="B146" s="10"/>
      <c r="C146" s="7">
        <f t="shared" si="12"/>
        <v>7</v>
      </c>
      <c r="D146" s="8" t="s">
        <v>339</v>
      </c>
      <c r="E146" s="8" t="s">
        <v>326</v>
      </c>
      <c r="F146" s="13"/>
      <c r="G146" s="8" t="s">
        <v>52</v>
      </c>
      <c r="H146" s="7"/>
      <c r="I146" s="7"/>
      <c r="J146" s="7"/>
      <c r="K146" s="8"/>
      <c r="L146" s="7"/>
      <c r="M146" s="7"/>
      <c r="N146" s="8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8"/>
      <c r="AA146" s="8"/>
      <c r="AB146" s="7"/>
      <c r="AC146" s="8"/>
      <c r="AD146" s="8"/>
      <c r="AE146" s="7"/>
      <c r="AF146" s="8"/>
      <c r="AG146" s="8"/>
      <c r="AH146" s="7"/>
      <c r="AI146" s="8"/>
      <c r="AJ146" s="8"/>
      <c r="AK146" s="7"/>
      <c r="AL146" s="8"/>
      <c r="AM146" s="8"/>
      <c r="AN146" s="7"/>
      <c r="AO146" s="8"/>
      <c r="AP146" s="8"/>
      <c r="AQ146" s="7"/>
      <c r="AR146" s="8"/>
      <c r="AS146" s="8"/>
      <c r="AT146" s="7"/>
      <c r="AU146" s="8"/>
      <c r="AV146" s="8"/>
      <c r="AW146" s="7"/>
      <c r="AX146" s="8"/>
      <c r="AY146" s="8"/>
      <c r="AZ146" s="7"/>
      <c r="BA146" s="8"/>
      <c r="BB146" s="8"/>
      <c r="BC146" s="7"/>
    </row>
    <row r="147" spans="1:55">
      <c r="A147" s="14"/>
      <c r="B147" s="10"/>
      <c r="C147" s="7">
        <f t="shared" si="12"/>
        <v>8</v>
      </c>
      <c r="D147" s="8" t="s">
        <v>340</v>
      </c>
      <c r="E147" s="8" t="s">
        <v>327</v>
      </c>
      <c r="F147" s="13"/>
      <c r="G147" s="8" t="s">
        <v>48</v>
      </c>
      <c r="H147" s="7">
        <v>50</v>
      </c>
      <c r="I147" s="7"/>
      <c r="J147" s="7"/>
      <c r="K147" s="8"/>
      <c r="L147" s="7"/>
      <c r="M147" s="7"/>
      <c r="N147" s="8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8"/>
      <c r="AA147" s="8"/>
      <c r="AB147" s="7"/>
      <c r="AC147" s="8"/>
      <c r="AD147" s="8"/>
      <c r="AE147" s="7"/>
      <c r="AF147" s="8"/>
      <c r="AG147" s="8"/>
      <c r="AH147" s="7"/>
      <c r="AI147" s="8"/>
      <c r="AJ147" s="8"/>
      <c r="AK147" s="7"/>
      <c r="AL147" s="8"/>
      <c r="AM147" s="8"/>
      <c r="AN147" s="7"/>
      <c r="AO147" s="8"/>
      <c r="AP147" s="8"/>
      <c r="AQ147" s="7"/>
      <c r="AR147" s="8"/>
      <c r="AS147" s="8"/>
      <c r="AT147" s="7"/>
      <c r="AU147" s="8"/>
      <c r="AV147" s="8"/>
      <c r="AW147" s="7"/>
      <c r="AX147" s="8"/>
      <c r="AY147" s="8"/>
      <c r="AZ147" s="7"/>
      <c r="BA147" s="8"/>
      <c r="BB147" s="8"/>
      <c r="BC147" s="7"/>
    </row>
    <row r="148" spans="1:55">
      <c r="A148" s="14"/>
      <c r="B148" s="10"/>
      <c r="C148" s="7">
        <f t="shared" si="12"/>
        <v>9</v>
      </c>
      <c r="D148" s="32" t="s">
        <v>318</v>
      </c>
      <c r="E148" s="8" t="s">
        <v>348</v>
      </c>
      <c r="F148" s="13" t="s">
        <v>319</v>
      </c>
      <c r="G148" s="8" t="s">
        <v>48</v>
      </c>
      <c r="H148" s="7">
        <v>40</v>
      </c>
      <c r="I148" s="7"/>
      <c r="J148" s="7" t="s">
        <v>0</v>
      </c>
      <c r="K148" s="8"/>
      <c r="L148" s="7"/>
      <c r="M148" s="7"/>
      <c r="N148" s="8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8"/>
      <c r="AA148" s="8"/>
      <c r="AB148" s="7"/>
      <c r="AC148" s="8"/>
      <c r="AD148" s="8"/>
      <c r="AE148" s="7"/>
      <c r="AF148" s="8"/>
      <c r="AG148" s="8"/>
      <c r="AH148" s="7"/>
      <c r="AI148" s="8"/>
      <c r="AJ148" s="8"/>
      <c r="AK148" s="7"/>
      <c r="AL148" s="8"/>
      <c r="AM148" s="8"/>
      <c r="AN148" s="7"/>
      <c r="AO148" s="8"/>
      <c r="AP148" s="8"/>
      <c r="AQ148" s="7"/>
      <c r="AR148" s="8"/>
      <c r="AS148" s="8"/>
      <c r="AT148" s="7"/>
      <c r="AU148" s="8"/>
      <c r="AV148" s="8"/>
      <c r="AW148" s="7"/>
      <c r="AX148" s="8"/>
      <c r="AY148" s="8"/>
      <c r="AZ148" s="7"/>
      <c r="BA148" s="8"/>
      <c r="BB148" s="8"/>
      <c r="BC148" s="7"/>
    </row>
    <row r="149" spans="1:55">
      <c r="A149" s="14"/>
      <c r="B149" s="10"/>
      <c r="C149" s="7">
        <f t="shared" si="12"/>
        <v>10</v>
      </c>
      <c r="D149" s="8" t="s">
        <v>341</v>
      </c>
      <c r="E149" s="8" t="s">
        <v>328</v>
      </c>
      <c r="F149" s="13"/>
      <c r="G149" s="8" t="s">
        <v>48</v>
      </c>
      <c r="H149" s="7">
        <v>50</v>
      </c>
      <c r="I149" s="7"/>
      <c r="J149" s="7"/>
      <c r="K149" s="8"/>
      <c r="L149" s="7"/>
      <c r="M149" s="7"/>
      <c r="N149" s="8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8"/>
      <c r="AA149" s="8"/>
      <c r="AB149" s="7"/>
      <c r="AC149" s="8"/>
      <c r="AD149" s="8"/>
      <c r="AE149" s="7"/>
      <c r="AF149" s="8"/>
      <c r="AG149" s="8"/>
      <c r="AH149" s="7"/>
      <c r="AI149" s="8"/>
      <c r="AJ149" s="8"/>
      <c r="AK149" s="7"/>
      <c r="AL149" s="8"/>
      <c r="AM149" s="8"/>
      <c r="AN149" s="7"/>
      <c r="AO149" s="8"/>
      <c r="AP149" s="8"/>
      <c r="AQ149" s="7"/>
      <c r="AR149" s="8"/>
      <c r="AS149" s="8"/>
      <c r="AT149" s="7"/>
      <c r="AU149" s="8"/>
      <c r="AV149" s="8"/>
      <c r="AW149" s="7"/>
      <c r="AX149" s="8"/>
      <c r="AY149" s="8"/>
      <c r="AZ149" s="7"/>
      <c r="BA149" s="8"/>
      <c r="BB149" s="8"/>
      <c r="BC149" s="7"/>
    </row>
    <row r="150" spans="1:55">
      <c r="A150" s="14"/>
      <c r="B150" s="10"/>
      <c r="C150" s="7">
        <f t="shared" si="12"/>
        <v>11</v>
      </c>
      <c r="D150" s="8" t="s">
        <v>343</v>
      </c>
      <c r="E150" s="8" t="s">
        <v>329</v>
      </c>
      <c r="F150" s="13"/>
      <c r="G150" s="8" t="s">
        <v>48</v>
      </c>
      <c r="H150" s="7">
        <v>14</v>
      </c>
      <c r="I150" s="7"/>
      <c r="J150" s="7"/>
      <c r="K150" s="8"/>
      <c r="L150" s="7"/>
      <c r="M150" s="7"/>
      <c r="N150" s="8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8"/>
      <c r="AA150" s="8"/>
      <c r="AB150" s="7"/>
      <c r="AC150" s="8"/>
      <c r="AD150" s="8"/>
      <c r="AE150" s="7"/>
      <c r="AF150" s="8"/>
      <c r="AG150" s="8"/>
      <c r="AH150" s="7"/>
      <c r="AI150" s="8"/>
      <c r="AJ150" s="8"/>
      <c r="AK150" s="7"/>
      <c r="AL150" s="8"/>
      <c r="AM150" s="8"/>
      <c r="AN150" s="7"/>
      <c r="AO150" s="8"/>
      <c r="AP150" s="8"/>
      <c r="AQ150" s="7"/>
      <c r="AR150" s="8"/>
      <c r="AS150" s="8"/>
      <c r="AT150" s="7"/>
      <c r="AU150" s="8"/>
      <c r="AV150" s="8"/>
      <c r="AW150" s="7"/>
      <c r="AX150" s="8"/>
      <c r="AY150" s="8"/>
      <c r="AZ150" s="7"/>
      <c r="BA150" s="8"/>
      <c r="BB150" s="8"/>
      <c r="BC150" s="7"/>
    </row>
    <row r="151" spans="1:55">
      <c r="A151" s="14"/>
      <c r="B151" s="10"/>
      <c r="C151" s="7">
        <f t="shared" si="12"/>
        <v>12</v>
      </c>
      <c r="D151" s="8" t="s">
        <v>344</v>
      </c>
      <c r="E151" s="8" t="s">
        <v>330</v>
      </c>
      <c r="F151" s="13"/>
      <c r="G151" s="8" t="s">
        <v>48</v>
      </c>
      <c r="H151" s="7">
        <v>14</v>
      </c>
      <c r="I151" s="7"/>
      <c r="J151" s="7"/>
      <c r="K151" s="8"/>
      <c r="L151" s="7"/>
      <c r="M151" s="7"/>
      <c r="N151" s="8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8"/>
      <c r="AA151" s="8"/>
      <c r="AB151" s="7"/>
      <c r="AC151" s="8"/>
      <c r="AD151" s="8"/>
      <c r="AE151" s="7"/>
      <c r="AF151" s="8"/>
      <c r="AG151" s="8"/>
      <c r="AH151" s="7"/>
      <c r="AI151" s="8"/>
      <c r="AJ151" s="8"/>
      <c r="AK151" s="7"/>
      <c r="AL151" s="8"/>
      <c r="AM151" s="8"/>
      <c r="AN151" s="7"/>
      <c r="AO151" s="8"/>
      <c r="AP151" s="8"/>
      <c r="AQ151" s="7"/>
      <c r="AR151" s="8"/>
      <c r="AS151" s="8"/>
      <c r="AT151" s="7"/>
      <c r="AU151" s="8"/>
      <c r="AV151" s="8"/>
      <c r="AW151" s="7"/>
      <c r="AX151" s="8"/>
      <c r="AY151" s="8"/>
      <c r="AZ151" s="7"/>
      <c r="BA151" s="8"/>
      <c r="BB151" s="8"/>
      <c r="BC151" s="7"/>
    </row>
    <row r="152" spans="1:55">
      <c r="A152" s="14"/>
      <c r="B152" s="10"/>
      <c r="C152" s="7">
        <f t="shared" si="12"/>
        <v>13</v>
      </c>
      <c r="D152" s="8" t="s">
        <v>345</v>
      </c>
      <c r="E152" s="8" t="s">
        <v>331</v>
      </c>
      <c r="F152" s="13"/>
      <c r="G152" s="8" t="s">
        <v>48</v>
      </c>
      <c r="H152" s="7">
        <v>50</v>
      </c>
      <c r="I152" s="7"/>
      <c r="J152" s="7"/>
      <c r="K152" s="8"/>
      <c r="L152" s="7"/>
      <c r="M152" s="7"/>
      <c r="N152" s="8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8"/>
      <c r="AA152" s="8"/>
      <c r="AB152" s="7"/>
      <c r="AC152" s="8"/>
      <c r="AD152" s="8"/>
      <c r="AE152" s="7"/>
      <c r="AF152" s="8"/>
      <c r="AG152" s="8"/>
      <c r="AH152" s="7"/>
      <c r="AI152" s="8"/>
      <c r="AJ152" s="8"/>
      <c r="AK152" s="7"/>
      <c r="AL152" s="8"/>
      <c r="AM152" s="8"/>
      <c r="AN152" s="7"/>
      <c r="AO152" s="8"/>
      <c r="AP152" s="8"/>
      <c r="AQ152" s="7"/>
      <c r="AR152" s="8"/>
      <c r="AS152" s="8"/>
      <c r="AT152" s="7"/>
      <c r="AU152" s="8"/>
      <c r="AV152" s="8"/>
      <c r="AW152" s="7"/>
      <c r="AX152" s="8"/>
      <c r="AY152" s="8"/>
      <c r="AZ152" s="7"/>
      <c r="BA152" s="8"/>
      <c r="BB152" s="8"/>
      <c r="BC152" s="7"/>
    </row>
    <row r="153" spans="1:55">
      <c r="A153" s="14"/>
      <c r="B153" s="10"/>
      <c r="C153" s="7">
        <f t="shared" si="12"/>
        <v>14</v>
      </c>
      <c r="D153" s="8" t="s">
        <v>346</v>
      </c>
      <c r="E153" s="8" t="s">
        <v>332</v>
      </c>
      <c r="F153" s="13"/>
      <c r="G153" s="8" t="s">
        <v>48</v>
      </c>
      <c r="H153" s="7">
        <v>400</v>
      </c>
      <c r="I153" s="7"/>
      <c r="J153" s="7"/>
      <c r="K153" s="8"/>
      <c r="L153" s="7"/>
      <c r="M153" s="7"/>
      <c r="N153" s="8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8"/>
      <c r="AA153" s="8"/>
      <c r="AB153" s="7"/>
      <c r="AC153" s="8"/>
      <c r="AD153" s="8"/>
      <c r="AE153" s="7"/>
      <c r="AF153" s="8"/>
      <c r="AG153" s="8"/>
      <c r="AH153" s="7"/>
      <c r="AI153" s="8"/>
      <c r="AJ153" s="8"/>
      <c r="AK153" s="7"/>
      <c r="AL153" s="8"/>
      <c r="AM153" s="8"/>
      <c r="AN153" s="7"/>
      <c r="AO153" s="8"/>
      <c r="AP153" s="8"/>
      <c r="AQ153" s="7"/>
      <c r="AR153" s="8"/>
      <c r="AS153" s="8"/>
      <c r="AT153" s="7"/>
      <c r="AU153" s="8"/>
      <c r="AV153" s="8"/>
      <c r="AW153" s="7"/>
      <c r="AX153" s="8"/>
      <c r="AY153" s="8"/>
      <c r="AZ153" s="7"/>
      <c r="BA153" s="8"/>
      <c r="BB153" s="8"/>
      <c r="BC153" s="7"/>
    </row>
    <row r="154" spans="1:55">
      <c r="A154" s="14"/>
      <c r="B154" s="10"/>
      <c r="C154" s="7">
        <f t="shared" si="12"/>
        <v>15</v>
      </c>
      <c r="D154" s="8" t="s">
        <v>347</v>
      </c>
      <c r="E154" s="8" t="s">
        <v>333</v>
      </c>
      <c r="F154" s="13"/>
      <c r="G154" s="8" t="s">
        <v>48</v>
      </c>
      <c r="H154" s="7">
        <v>400</v>
      </c>
      <c r="I154" s="7"/>
      <c r="J154" s="7"/>
      <c r="K154" s="8"/>
      <c r="L154" s="7"/>
      <c r="M154" s="7"/>
      <c r="N154" s="8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8"/>
      <c r="AA154" s="8"/>
      <c r="AB154" s="7"/>
      <c r="AC154" s="8"/>
      <c r="AD154" s="8"/>
      <c r="AE154" s="7"/>
      <c r="AF154" s="8"/>
      <c r="AG154" s="8"/>
      <c r="AH154" s="7"/>
      <c r="AI154" s="8"/>
      <c r="AJ154" s="8"/>
      <c r="AK154" s="7"/>
      <c r="AL154" s="8"/>
      <c r="AM154" s="8"/>
      <c r="AN154" s="7"/>
      <c r="AO154" s="8"/>
      <c r="AP154" s="8"/>
      <c r="AQ154" s="7"/>
      <c r="AR154" s="8"/>
      <c r="AS154" s="8"/>
      <c r="AT154" s="7"/>
      <c r="AU154" s="8"/>
      <c r="AV154" s="8"/>
      <c r="AW154" s="7"/>
      <c r="AX154" s="8"/>
      <c r="AY154" s="8"/>
      <c r="AZ154" s="7"/>
      <c r="BA154" s="8"/>
      <c r="BB154" s="8"/>
      <c r="BC154" s="7"/>
    </row>
    <row r="155" spans="1:55">
      <c r="A155" s="14">
        <v>17</v>
      </c>
      <c r="B155" s="10" t="s">
        <v>175</v>
      </c>
      <c r="C155" s="7">
        <v>1</v>
      </c>
      <c r="D155" s="8" t="s">
        <v>55</v>
      </c>
      <c r="E155" s="9" t="s">
        <v>62</v>
      </c>
      <c r="F155" s="13"/>
      <c r="G155" s="8" t="s">
        <v>61</v>
      </c>
      <c r="H155" s="7"/>
      <c r="I155" s="7"/>
      <c r="J155" s="7" t="s">
        <v>0</v>
      </c>
      <c r="K155" s="8"/>
      <c r="L155" s="7">
        <v>1</v>
      </c>
      <c r="M155" s="7"/>
      <c r="N155" s="8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8"/>
      <c r="AA155" s="8"/>
      <c r="AB155" s="7"/>
      <c r="AC155" s="8"/>
      <c r="AD155" s="8"/>
      <c r="AE155" s="7"/>
      <c r="AF155" s="8"/>
      <c r="AG155" s="8"/>
      <c r="AH155" s="7"/>
      <c r="AI155" s="8"/>
      <c r="AJ155" s="8"/>
      <c r="AK155" s="7"/>
      <c r="AL155" s="8"/>
      <c r="AM155" s="8"/>
      <c r="AN155" s="7"/>
      <c r="AO155" s="8"/>
      <c r="AP155" s="8"/>
      <c r="AQ155" s="7"/>
      <c r="AR155" s="8"/>
      <c r="AS155" s="8"/>
      <c r="AT155" s="7"/>
      <c r="AU155" s="8"/>
      <c r="AV155" s="8"/>
      <c r="AW155" s="7"/>
      <c r="AX155" s="8"/>
      <c r="AY155" s="8"/>
      <c r="AZ155" s="7"/>
      <c r="BA155" s="8"/>
      <c r="BB155" s="8"/>
      <c r="BC155" s="7"/>
    </row>
    <row r="156" spans="1:55">
      <c r="A156" s="14"/>
      <c r="B156" s="1" t="s">
        <v>176</v>
      </c>
      <c r="C156" s="7">
        <f t="shared" ref="C156:C162" si="13">C155+1</f>
        <v>2</v>
      </c>
      <c r="D156" s="8" t="s">
        <v>180</v>
      </c>
      <c r="E156" s="8" t="s">
        <v>177</v>
      </c>
      <c r="F156" s="13"/>
      <c r="G156" s="8" t="s">
        <v>47</v>
      </c>
      <c r="H156" s="7">
        <v>10</v>
      </c>
      <c r="I156" s="7"/>
      <c r="J156" s="7"/>
      <c r="K156" s="8"/>
      <c r="L156" s="7"/>
      <c r="M156" s="35">
        <v>1</v>
      </c>
      <c r="N156" s="8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8"/>
      <c r="AA156" s="8"/>
      <c r="AB156" s="7"/>
      <c r="AC156" s="8"/>
      <c r="AD156" s="8"/>
      <c r="AE156" s="7"/>
      <c r="AF156" s="8"/>
      <c r="AG156" s="8"/>
      <c r="AH156" s="7"/>
      <c r="AI156" s="8"/>
      <c r="AJ156" s="8"/>
      <c r="AK156" s="7"/>
      <c r="AL156" s="8"/>
      <c r="AM156" s="8"/>
      <c r="AN156" s="7"/>
      <c r="AO156" s="8"/>
      <c r="AP156" s="8"/>
      <c r="AQ156" s="7"/>
      <c r="AR156" s="8"/>
      <c r="AS156" s="8"/>
      <c r="AT156" s="7"/>
      <c r="AU156" s="8"/>
      <c r="AV156" s="8"/>
      <c r="AW156" s="7"/>
      <c r="AX156" s="8"/>
      <c r="AY156" s="8"/>
      <c r="AZ156" s="7"/>
      <c r="BA156" s="8"/>
      <c r="BB156" s="8"/>
      <c r="BC156" s="7"/>
    </row>
    <row r="157" spans="1:55">
      <c r="A157" s="14"/>
      <c r="B157" s="10" t="s">
        <v>413</v>
      </c>
      <c r="C157" s="7">
        <f t="shared" si="13"/>
        <v>3</v>
      </c>
      <c r="D157" s="8" t="s">
        <v>181</v>
      </c>
      <c r="E157" s="8" t="s">
        <v>178</v>
      </c>
      <c r="F157" s="13"/>
      <c r="G157" s="8" t="s">
        <v>48</v>
      </c>
      <c r="H157" s="7">
        <v>40</v>
      </c>
      <c r="I157" s="7"/>
      <c r="J157" s="35" t="s">
        <v>0</v>
      </c>
      <c r="K157" s="8"/>
      <c r="L157" s="7"/>
      <c r="M157" s="7"/>
      <c r="N157" s="8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8"/>
      <c r="AA157" s="8"/>
      <c r="AB157" s="7"/>
      <c r="AC157" s="8"/>
      <c r="AD157" s="8"/>
      <c r="AE157" s="7"/>
      <c r="AF157" s="8"/>
      <c r="AG157" s="8"/>
      <c r="AH157" s="7"/>
      <c r="AI157" s="8"/>
      <c r="AJ157" s="8"/>
      <c r="AK157" s="7"/>
      <c r="AL157" s="8"/>
      <c r="AM157" s="8"/>
      <c r="AN157" s="7"/>
      <c r="AO157" s="8"/>
      <c r="AP157" s="8"/>
      <c r="AQ157" s="7"/>
      <c r="AR157" s="8"/>
      <c r="AS157" s="8"/>
      <c r="AT157" s="7"/>
      <c r="AU157" s="8"/>
      <c r="AV157" s="8"/>
      <c r="AW157" s="7"/>
      <c r="AX157" s="8"/>
      <c r="AY157" s="8"/>
      <c r="AZ157" s="7"/>
      <c r="BA157" s="8"/>
      <c r="BB157" s="8"/>
      <c r="BC157" s="7"/>
    </row>
    <row r="158" spans="1:55">
      <c r="A158" s="14"/>
      <c r="B158" s="10"/>
      <c r="C158" s="7">
        <f t="shared" si="13"/>
        <v>4</v>
      </c>
      <c r="D158" s="32" t="s">
        <v>200</v>
      </c>
      <c r="E158" s="32" t="s">
        <v>203</v>
      </c>
      <c r="F158" s="13" t="s">
        <v>414</v>
      </c>
      <c r="G158" s="8" t="s">
        <v>48</v>
      </c>
      <c r="H158" s="7">
        <v>4</v>
      </c>
      <c r="I158" s="7"/>
      <c r="J158" s="35"/>
      <c r="K158" s="8"/>
      <c r="L158" s="7"/>
      <c r="M158" s="7"/>
      <c r="N158" s="8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8"/>
      <c r="AA158" s="8"/>
      <c r="AB158" s="7"/>
      <c r="AC158" s="8"/>
      <c r="AD158" s="8"/>
      <c r="AE158" s="7"/>
      <c r="AF158" s="8"/>
      <c r="AG158" s="8"/>
      <c r="AH158" s="7"/>
      <c r="AI158" s="8"/>
      <c r="AJ158" s="8"/>
      <c r="AK158" s="7"/>
      <c r="AL158" s="8"/>
      <c r="AM158" s="8"/>
      <c r="AN158" s="7"/>
      <c r="AO158" s="8"/>
      <c r="AP158" s="8"/>
      <c r="AQ158" s="7"/>
      <c r="AR158" s="8"/>
      <c r="AS158" s="8"/>
      <c r="AT158" s="7"/>
      <c r="AU158" s="8"/>
      <c r="AV158" s="8"/>
      <c r="AW158" s="7"/>
      <c r="AX158" s="8"/>
      <c r="AY158" s="8"/>
      <c r="AZ158" s="7"/>
      <c r="BA158" s="8"/>
      <c r="BB158" s="8"/>
      <c r="BC158" s="7"/>
    </row>
    <row r="159" spans="1:55">
      <c r="A159" s="14"/>
      <c r="B159" s="10"/>
      <c r="C159" s="7">
        <f t="shared" si="13"/>
        <v>5</v>
      </c>
      <c r="D159" s="32" t="s">
        <v>202</v>
      </c>
      <c r="E159" s="32" t="s">
        <v>205</v>
      </c>
      <c r="F159" s="13" t="s">
        <v>415</v>
      </c>
      <c r="G159" s="8" t="s">
        <v>48</v>
      </c>
      <c r="H159" s="7">
        <v>20</v>
      </c>
      <c r="I159" s="7"/>
      <c r="J159" s="35"/>
      <c r="K159" s="8"/>
      <c r="L159" s="7"/>
      <c r="M159" s="7"/>
      <c r="N159" s="8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8"/>
      <c r="AA159" s="8"/>
      <c r="AB159" s="7"/>
      <c r="AC159" s="8"/>
      <c r="AD159" s="8"/>
      <c r="AE159" s="7"/>
      <c r="AF159" s="8"/>
      <c r="AG159" s="8"/>
      <c r="AH159" s="7"/>
      <c r="AI159" s="8"/>
      <c r="AJ159" s="8"/>
      <c r="AK159" s="7"/>
      <c r="AL159" s="8"/>
      <c r="AM159" s="8"/>
      <c r="AN159" s="7"/>
      <c r="AO159" s="8"/>
      <c r="AP159" s="8"/>
      <c r="AQ159" s="7"/>
      <c r="AR159" s="8"/>
      <c r="AS159" s="8"/>
      <c r="AT159" s="7"/>
      <c r="AU159" s="8"/>
      <c r="AV159" s="8"/>
      <c r="AW159" s="7"/>
      <c r="AX159" s="8"/>
      <c r="AY159" s="8"/>
      <c r="AZ159" s="7"/>
      <c r="BA159" s="8"/>
      <c r="BB159" s="8"/>
      <c r="BC159" s="7"/>
    </row>
    <row r="160" spans="1:55">
      <c r="A160" s="14"/>
      <c r="B160" s="10"/>
      <c r="C160" s="7">
        <f t="shared" si="13"/>
        <v>6</v>
      </c>
      <c r="D160" s="32" t="s">
        <v>201</v>
      </c>
      <c r="E160" s="32" t="s">
        <v>204</v>
      </c>
      <c r="F160" s="13" t="s">
        <v>416</v>
      </c>
      <c r="G160" s="8" t="s">
        <v>48</v>
      </c>
      <c r="H160" s="7">
        <v>30</v>
      </c>
      <c r="I160" s="7"/>
      <c r="J160" s="35"/>
      <c r="K160" s="8"/>
      <c r="L160" s="7"/>
      <c r="M160" s="7"/>
      <c r="N160" s="8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8"/>
      <c r="AA160" s="8"/>
      <c r="AB160" s="7"/>
      <c r="AC160" s="8"/>
      <c r="AD160" s="8"/>
      <c r="AE160" s="7"/>
      <c r="AF160" s="8"/>
      <c r="AG160" s="8"/>
      <c r="AH160" s="7"/>
      <c r="AI160" s="8"/>
      <c r="AJ160" s="8"/>
      <c r="AK160" s="7"/>
      <c r="AL160" s="8"/>
      <c r="AM160" s="8"/>
      <c r="AN160" s="7"/>
      <c r="AO160" s="8"/>
      <c r="AP160" s="8"/>
      <c r="AQ160" s="7"/>
      <c r="AR160" s="8"/>
      <c r="AS160" s="8"/>
      <c r="AT160" s="7"/>
      <c r="AU160" s="8"/>
      <c r="AV160" s="8"/>
      <c r="AW160" s="7"/>
      <c r="AX160" s="8"/>
      <c r="AY160" s="8"/>
      <c r="AZ160" s="7"/>
      <c r="BA160" s="8"/>
      <c r="BB160" s="8"/>
      <c r="BC160" s="7"/>
    </row>
    <row r="161" spans="1:55">
      <c r="A161" s="14"/>
      <c r="B161" s="10"/>
      <c r="C161" s="7">
        <f t="shared" si="13"/>
        <v>7</v>
      </c>
      <c r="D161" s="8" t="s">
        <v>182</v>
      </c>
      <c r="E161" s="8" t="s">
        <v>179</v>
      </c>
      <c r="F161" s="13"/>
      <c r="G161" s="8" t="s">
        <v>56</v>
      </c>
      <c r="H161" s="7"/>
      <c r="I161" s="7"/>
      <c r="J161" s="35" t="s">
        <v>0</v>
      </c>
      <c r="K161" s="8"/>
      <c r="L161" s="7"/>
      <c r="M161" s="7"/>
      <c r="N161" s="8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8"/>
      <c r="AA161" s="8"/>
      <c r="AB161" s="7"/>
      <c r="AC161" s="8"/>
      <c r="AD161" s="8"/>
      <c r="AE161" s="7"/>
      <c r="AF161" s="8"/>
      <c r="AG161" s="8"/>
      <c r="AH161" s="7"/>
      <c r="AI161" s="8"/>
      <c r="AJ161" s="8"/>
      <c r="AK161" s="7"/>
      <c r="AL161" s="8"/>
      <c r="AM161" s="8"/>
      <c r="AN161" s="7"/>
      <c r="AO161" s="8"/>
      <c r="AP161" s="8"/>
      <c r="AQ161" s="7"/>
      <c r="AR161" s="8"/>
      <c r="AS161" s="8"/>
      <c r="AT161" s="7"/>
      <c r="AU161" s="8"/>
      <c r="AV161" s="8"/>
      <c r="AW161" s="7"/>
      <c r="AX161" s="8"/>
      <c r="AY161" s="8"/>
      <c r="AZ161" s="7"/>
      <c r="BA161" s="8"/>
      <c r="BB161" s="8"/>
      <c r="BC161" s="7"/>
    </row>
    <row r="162" spans="1:55">
      <c r="A162" s="14"/>
      <c r="B162" s="10"/>
      <c r="C162" s="7">
        <f t="shared" si="13"/>
        <v>8</v>
      </c>
      <c r="D162" s="8" t="s">
        <v>392</v>
      </c>
      <c r="E162" s="9" t="s">
        <v>557</v>
      </c>
      <c r="F162" s="13" t="s">
        <v>393</v>
      </c>
      <c r="G162" s="8" t="s">
        <v>48</v>
      </c>
      <c r="H162" s="7">
        <v>4</v>
      </c>
      <c r="I162" s="7"/>
      <c r="J162" s="35" t="s">
        <v>0</v>
      </c>
      <c r="K162" s="8"/>
      <c r="L162" s="7"/>
      <c r="M162" s="7"/>
      <c r="N162" s="8"/>
      <c r="O162" s="7" t="s">
        <v>0</v>
      </c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8"/>
      <c r="AA162" s="8"/>
      <c r="AB162" s="7"/>
      <c r="AC162" s="8"/>
      <c r="AD162" s="8"/>
      <c r="AE162" s="7"/>
      <c r="AF162" s="8"/>
      <c r="AG162" s="8"/>
      <c r="AH162" s="7"/>
      <c r="AI162" s="8"/>
      <c r="AJ162" s="8"/>
      <c r="AK162" s="7"/>
      <c r="AL162" s="8"/>
      <c r="AM162" s="8"/>
      <c r="AN162" s="7"/>
      <c r="AO162" s="8"/>
      <c r="AP162" s="8"/>
      <c r="AQ162" s="7"/>
      <c r="AR162" s="8"/>
      <c r="AS162" s="8"/>
      <c r="AT162" s="7"/>
      <c r="AU162" s="8"/>
      <c r="AV162" s="8"/>
      <c r="AW162" s="7"/>
      <c r="AX162" s="8"/>
      <c r="AY162" s="8"/>
      <c r="AZ162" s="7"/>
      <c r="BA162" s="8"/>
      <c r="BB162" s="8"/>
      <c r="BC162" s="7"/>
    </row>
    <row r="163" spans="1:55">
      <c r="A163" s="14">
        <v>18</v>
      </c>
      <c r="B163" s="10" t="s">
        <v>281</v>
      </c>
      <c r="C163" s="7">
        <v>1</v>
      </c>
      <c r="D163" s="8" t="s">
        <v>55</v>
      </c>
      <c r="E163" s="9" t="s">
        <v>62</v>
      </c>
      <c r="F163" s="13"/>
      <c r="G163" s="8" t="s">
        <v>61</v>
      </c>
      <c r="H163" s="7"/>
      <c r="I163" s="7"/>
      <c r="J163" s="7" t="s">
        <v>0</v>
      </c>
      <c r="K163" s="8"/>
      <c r="L163" s="7">
        <v>1</v>
      </c>
      <c r="M163" s="7"/>
      <c r="N163" s="8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8"/>
      <c r="AA163" s="8"/>
      <c r="AB163" s="7"/>
      <c r="AC163" s="8"/>
      <c r="AD163" s="8"/>
      <c r="AE163" s="7"/>
      <c r="AF163" s="8"/>
      <c r="AG163" s="8"/>
      <c r="AH163" s="7"/>
      <c r="AI163" s="8"/>
      <c r="AJ163" s="8"/>
      <c r="AK163" s="7"/>
      <c r="AL163" s="8"/>
      <c r="AM163" s="8"/>
      <c r="AN163" s="7"/>
      <c r="AO163" s="8"/>
      <c r="AP163" s="8"/>
      <c r="AQ163" s="7"/>
      <c r="AR163" s="8"/>
      <c r="AS163" s="8"/>
      <c r="AT163" s="7"/>
      <c r="AU163" s="8"/>
      <c r="AV163" s="8"/>
      <c r="AW163" s="7"/>
      <c r="AX163" s="8"/>
      <c r="AY163" s="8"/>
      <c r="AZ163" s="7"/>
      <c r="BA163" s="8"/>
      <c r="BB163" s="8"/>
      <c r="BC163" s="7"/>
    </row>
    <row r="164" spans="1:55">
      <c r="A164" s="14"/>
      <c r="B164" s="10" t="s">
        <v>389</v>
      </c>
      <c r="C164" s="7">
        <f>C163+1</f>
        <v>2</v>
      </c>
      <c r="D164" s="8" t="s">
        <v>311</v>
      </c>
      <c r="E164" s="8" t="s">
        <v>306</v>
      </c>
      <c r="F164" s="13"/>
      <c r="G164" s="8" t="s">
        <v>63</v>
      </c>
      <c r="H164" s="7"/>
      <c r="I164" s="7"/>
      <c r="J164" s="7" t="s">
        <v>0</v>
      </c>
      <c r="K164" s="8"/>
      <c r="L164" s="7"/>
      <c r="M164" s="7"/>
      <c r="N164" s="8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8" t="s">
        <v>312</v>
      </c>
      <c r="AA164" s="8" t="s">
        <v>313</v>
      </c>
      <c r="AB164" s="7" t="s">
        <v>0</v>
      </c>
      <c r="AC164" s="8"/>
      <c r="AD164" s="8"/>
      <c r="AE164" s="7"/>
      <c r="AF164" s="8"/>
      <c r="AG164" s="8"/>
      <c r="AH164" s="7"/>
      <c r="AI164" s="8"/>
      <c r="AJ164" s="8"/>
      <c r="AK164" s="7"/>
      <c r="AL164" s="8"/>
      <c r="AM164" s="8"/>
      <c r="AN164" s="7"/>
      <c r="AO164" s="8"/>
      <c r="AP164" s="8"/>
      <c r="AQ164" s="7"/>
      <c r="AR164" s="8"/>
      <c r="AS164" s="8"/>
      <c r="AT164" s="7"/>
      <c r="AU164" s="8"/>
      <c r="AV164" s="8"/>
      <c r="AW164" s="7"/>
      <c r="AX164" s="8"/>
      <c r="AY164" s="8"/>
      <c r="AZ164" s="7"/>
      <c r="BA164" s="8"/>
      <c r="BB164" s="8"/>
      <c r="BC164" s="7"/>
    </row>
    <row r="165" spans="1:55">
      <c r="A165" s="14"/>
      <c r="B165" s="10"/>
      <c r="C165" s="7">
        <f>C164+1</f>
        <v>3</v>
      </c>
      <c r="D165" s="8" t="s">
        <v>310</v>
      </c>
      <c r="E165" s="8" t="s">
        <v>307</v>
      </c>
      <c r="F165" s="13"/>
      <c r="G165" s="8" t="s">
        <v>47</v>
      </c>
      <c r="H165" s="7">
        <v>2</v>
      </c>
      <c r="I165" s="7"/>
      <c r="J165" s="7" t="s">
        <v>0</v>
      </c>
      <c r="K165" s="8"/>
      <c r="L165" s="7"/>
      <c r="M165" s="35">
        <v>1</v>
      </c>
      <c r="N165" s="8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8"/>
      <c r="AA165" s="8"/>
      <c r="AB165" s="7"/>
      <c r="AC165" s="8"/>
      <c r="AD165" s="8"/>
      <c r="AE165" s="7"/>
      <c r="AF165" s="8"/>
      <c r="AG165" s="8"/>
      <c r="AH165" s="7"/>
      <c r="AI165" s="8"/>
      <c r="AJ165" s="8"/>
      <c r="AK165" s="7"/>
      <c r="AL165" s="8"/>
      <c r="AM165" s="8"/>
      <c r="AN165" s="7"/>
      <c r="AO165" s="8"/>
      <c r="AP165" s="8"/>
      <c r="AQ165" s="7"/>
      <c r="AR165" s="8"/>
      <c r="AS165" s="8"/>
      <c r="AT165" s="7"/>
      <c r="AU165" s="8"/>
      <c r="AV165" s="8"/>
      <c r="AW165" s="7"/>
      <c r="AX165" s="8"/>
      <c r="AY165" s="8"/>
      <c r="AZ165" s="7"/>
      <c r="BA165" s="8"/>
      <c r="BB165" s="8"/>
      <c r="BC165" s="7"/>
    </row>
    <row r="166" spans="1:55">
      <c r="A166" s="14"/>
      <c r="B166" s="10"/>
      <c r="C166" s="7">
        <f>C165+1</f>
        <v>4</v>
      </c>
      <c r="D166" s="8" t="s">
        <v>309</v>
      </c>
      <c r="E166" s="8" t="s">
        <v>308</v>
      </c>
      <c r="F166" s="13"/>
      <c r="G166" s="8" t="s">
        <v>48</v>
      </c>
      <c r="H166" s="7">
        <v>20</v>
      </c>
      <c r="I166" s="7"/>
      <c r="J166" s="7"/>
      <c r="K166" s="8"/>
      <c r="L166" s="7"/>
      <c r="M166" s="7"/>
      <c r="N166" s="8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8"/>
      <c r="AA166" s="8"/>
      <c r="AB166" s="7"/>
      <c r="AC166" s="8"/>
      <c r="AD166" s="8"/>
      <c r="AE166" s="7"/>
      <c r="AF166" s="8"/>
      <c r="AG166" s="8"/>
      <c r="AH166" s="7"/>
      <c r="AI166" s="8"/>
      <c r="AJ166" s="8"/>
      <c r="AK166" s="7"/>
      <c r="AL166" s="8"/>
      <c r="AM166" s="8"/>
      <c r="AN166" s="7"/>
      <c r="AO166" s="8"/>
      <c r="AP166" s="8"/>
      <c r="AQ166" s="7"/>
      <c r="AR166" s="8"/>
      <c r="AS166" s="8"/>
      <c r="AT166" s="7"/>
      <c r="AU166" s="8"/>
      <c r="AV166" s="8"/>
      <c r="AW166" s="7"/>
      <c r="AX166" s="8"/>
      <c r="AY166" s="8"/>
      <c r="AZ166" s="7"/>
      <c r="BA166" s="8"/>
      <c r="BB166" s="8"/>
      <c r="BC166" s="7"/>
    </row>
    <row r="167" spans="1:55">
      <c r="A167" s="14"/>
      <c r="B167" s="10"/>
      <c r="C167" s="7">
        <f>C166+1</f>
        <v>5</v>
      </c>
      <c r="D167" s="32" t="s">
        <v>478</v>
      </c>
      <c r="E167" s="8" t="s">
        <v>479</v>
      </c>
      <c r="F167" s="13" t="s">
        <v>480</v>
      </c>
      <c r="G167" s="8" t="s">
        <v>49</v>
      </c>
      <c r="H167" s="7">
        <v>1</v>
      </c>
      <c r="I167" s="7"/>
      <c r="J167" s="7" t="s">
        <v>0</v>
      </c>
      <c r="K167" s="8"/>
      <c r="L167" s="7"/>
      <c r="M167" s="7"/>
      <c r="N167" s="8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8"/>
      <c r="AA167" s="8"/>
      <c r="AB167" s="7"/>
      <c r="AC167" s="8"/>
      <c r="AD167" s="8"/>
      <c r="AE167" s="7"/>
      <c r="AF167" s="8"/>
      <c r="AG167" s="8"/>
      <c r="AH167" s="7"/>
      <c r="AI167" s="8"/>
      <c r="AJ167" s="8"/>
      <c r="AK167" s="7"/>
      <c r="AL167" s="8"/>
      <c r="AM167" s="8"/>
      <c r="AN167" s="7"/>
      <c r="AO167" s="8"/>
      <c r="AP167" s="8"/>
      <c r="AQ167" s="7"/>
      <c r="AR167" s="8"/>
      <c r="AS167" s="8"/>
      <c r="AT167" s="7"/>
      <c r="AU167" s="8"/>
      <c r="AV167" s="8"/>
      <c r="AW167" s="7"/>
      <c r="AX167" s="8"/>
      <c r="AY167" s="8"/>
      <c r="AZ167" s="7"/>
      <c r="BA167" s="8"/>
      <c r="BB167" s="8"/>
      <c r="BC167" s="7"/>
    </row>
    <row r="168" spans="1:55">
      <c r="A168" s="14"/>
      <c r="B168" s="10"/>
      <c r="C168" s="7">
        <f>C167+1</f>
        <v>6</v>
      </c>
      <c r="D168" s="32" t="s">
        <v>555</v>
      </c>
      <c r="E168" s="8" t="s">
        <v>556</v>
      </c>
      <c r="F168" s="32" t="s">
        <v>560</v>
      </c>
      <c r="G168" s="8" t="s">
        <v>47</v>
      </c>
      <c r="H168" s="7">
        <v>10</v>
      </c>
      <c r="I168" s="7"/>
      <c r="J168" s="7"/>
      <c r="K168" s="8"/>
      <c r="L168" s="7"/>
      <c r="M168" s="7"/>
      <c r="N168" s="8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8"/>
      <c r="AA168" s="8"/>
      <c r="AB168" s="7"/>
      <c r="AC168" s="8"/>
      <c r="AD168" s="8"/>
      <c r="AE168" s="7"/>
      <c r="AF168" s="8"/>
      <c r="AG168" s="8"/>
      <c r="AH168" s="7"/>
      <c r="AI168" s="8"/>
      <c r="AJ168" s="8"/>
      <c r="AK168" s="7"/>
      <c r="AL168" s="8"/>
      <c r="AM168" s="8"/>
      <c r="AN168" s="7"/>
      <c r="AO168" s="8"/>
      <c r="AP168" s="8"/>
      <c r="AQ168" s="7"/>
      <c r="AR168" s="8"/>
      <c r="AS168" s="8"/>
      <c r="AT168" s="7"/>
      <c r="AU168" s="8"/>
      <c r="AV168" s="8"/>
      <c r="AW168" s="7"/>
      <c r="AX168" s="8"/>
      <c r="AY168" s="8"/>
      <c r="AZ168" s="7"/>
      <c r="BA168" s="8"/>
      <c r="BB168" s="8"/>
      <c r="BC168" s="7"/>
    </row>
    <row r="169" spans="1:55">
      <c r="A169" s="14">
        <v>19</v>
      </c>
      <c r="B169" s="10" t="s">
        <v>154</v>
      </c>
      <c r="C169" s="7">
        <v>1</v>
      </c>
      <c r="D169" s="8" t="s">
        <v>78</v>
      </c>
      <c r="E169" s="9" t="s">
        <v>79</v>
      </c>
      <c r="F169" s="13"/>
      <c r="G169" s="8" t="s">
        <v>61</v>
      </c>
      <c r="H169" s="7"/>
      <c r="I169" s="7"/>
      <c r="J169" s="7" t="s">
        <v>0</v>
      </c>
      <c r="K169" s="8"/>
      <c r="L169" s="7">
        <v>1</v>
      </c>
      <c r="M169" s="7"/>
      <c r="N169" s="8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8"/>
      <c r="AA169" s="8"/>
      <c r="AB169" s="7"/>
      <c r="AC169" s="8"/>
      <c r="AD169" s="8"/>
      <c r="AE169" s="7"/>
      <c r="AF169" s="8"/>
      <c r="AG169" s="8"/>
      <c r="AH169" s="7"/>
      <c r="AI169" s="8"/>
      <c r="AJ169" s="8"/>
      <c r="AK169" s="7"/>
      <c r="AL169" s="8"/>
      <c r="AM169" s="8"/>
      <c r="AN169" s="7"/>
      <c r="AO169" s="8"/>
      <c r="AP169" s="8"/>
      <c r="AQ169" s="7"/>
      <c r="AR169" s="8"/>
      <c r="AS169" s="8"/>
      <c r="AT169" s="7"/>
      <c r="AU169" s="8"/>
      <c r="AV169" s="8"/>
      <c r="AW169" s="7"/>
      <c r="AX169" s="8"/>
      <c r="AY169" s="8"/>
      <c r="AZ169" s="7"/>
      <c r="BA169" s="8"/>
      <c r="BB169" s="8"/>
      <c r="BC169" s="7"/>
    </row>
    <row r="170" spans="1:55">
      <c r="A170" s="14"/>
      <c r="B170" s="10" t="s">
        <v>170</v>
      </c>
      <c r="C170" s="7">
        <f t="shared" ref="C170:C177" si="14">C169+1</f>
        <v>2</v>
      </c>
      <c r="D170" s="8" t="s">
        <v>163</v>
      </c>
      <c r="E170" s="8" t="s">
        <v>350</v>
      </c>
      <c r="F170" s="13"/>
      <c r="G170" s="8" t="s">
        <v>63</v>
      </c>
      <c r="H170" s="7"/>
      <c r="I170" s="7"/>
      <c r="J170" s="7" t="s">
        <v>0</v>
      </c>
      <c r="K170" s="8"/>
      <c r="L170" s="7"/>
      <c r="M170" s="7"/>
      <c r="N170" s="8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8" t="s">
        <v>174</v>
      </c>
      <c r="AA170" s="8" t="s">
        <v>173</v>
      </c>
      <c r="AB170" s="7" t="s">
        <v>0</v>
      </c>
      <c r="AC170" s="8"/>
      <c r="AD170" s="8"/>
      <c r="AE170" s="7"/>
      <c r="AF170" s="8"/>
      <c r="AG170" s="8"/>
      <c r="AH170" s="7"/>
      <c r="AI170" s="8"/>
      <c r="AJ170" s="8"/>
      <c r="AK170" s="7"/>
      <c r="AL170" s="8"/>
      <c r="AM170" s="8"/>
      <c r="AN170" s="7"/>
      <c r="AO170" s="8"/>
      <c r="AP170" s="8"/>
      <c r="AQ170" s="7"/>
      <c r="AR170" s="8"/>
      <c r="AS170" s="8"/>
      <c r="AT170" s="7"/>
      <c r="AU170" s="8"/>
      <c r="AV170" s="8"/>
      <c r="AW170" s="7"/>
      <c r="AX170" s="8"/>
      <c r="AY170" s="8"/>
      <c r="AZ170" s="7"/>
      <c r="BA170" s="8"/>
      <c r="BB170" s="8"/>
      <c r="BC170" s="7"/>
    </row>
    <row r="171" spans="1:55">
      <c r="A171" s="14"/>
      <c r="B171" s="10"/>
      <c r="C171" s="7">
        <f t="shared" si="14"/>
        <v>3</v>
      </c>
      <c r="D171" s="8" t="s">
        <v>159</v>
      </c>
      <c r="E171" s="8" t="s">
        <v>155</v>
      </c>
      <c r="F171" s="13"/>
      <c r="G171" s="8" t="s">
        <v>48</v>
      </c>
      <c r="H171" s="7">
        <v>4</v>
      </c>
      <c r="I171" s="7"/>
      <c r="J171" s="7" t="s">
        <v>0</v>
      </c>
      <c r="K171" s="8"/>
      <c r="L171" s="7"/>
      <c r="M171" s="35">
        <v>1</v>
      </c>
      <c r="N171" s="8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8"/>
      <c r="AA171" s="8"/>
      <c r="AB171" s="7"/>
      <c r="AC171" s="8"/>
      <c r="AD171" s="8"/>
      <c r="AE171" s="7"/>
      <c r="AF171" s="8"/>
      <c r="AG171" s="8"/>
      <c r="AH171" s="7"/>
      <c r="AI171" s="8"/>
      <c r="AJ171" s="8"/>
      <c r="AK171" s="7"/>
      <c r="AL171" s="8"/>
      <c r="AM171" s="8"/>
      <c r="AN171" s="7"/>
      <c r="AO171" s="8"/>
      <c r="AP171" s="8"/>
      <c r="AQ171" s="7"/>
      <c r="AR171" s="8"/>
      <c r="AS171" s="8"/>
      <c r="AT171" s="7"/>
      <c r="AU171" s="8"/>
      <c r="AV171" s="8"/>
      <c r="AW171" s="7"/>
      <c r="AX171" s="8"/>
      <c r="AY171" s="8"/>
      <c r="AZ171" s="7"/>
      <c r="BA171" s="8"/>
      <c r="BB171" s="8"/>
      <c r="BC171" s="7"/>
    </row>
    <row r="172" spans="1:55">
      <c r="A172" s="14"/>
      <c r="B172" s="10"/>
      <c r="C172" s="7">
        <f t="shared" si="14"/>
        <v>4</v>
      </c>
      <c r="D172" s="8" t="s">
        <v>168</v>
      </c>
      <c r="E172" s="8" t="s">
        <v>424</v>
      </c>
      <c r="F172" s="13"/>
      <c r="G172" s="8" t="s">
        <v>63</v>
      </c>
      <c r="H172" s="7"/>
      <c r="I172" s="7"/>
      <c r="J172" s="35" t="s">
        <v>0</v>
      </c>
      <c r="K172" s="8"/>
      <c r="L172" s="7"/>
      <c r="M172" s="35"/>
      <c r="N172" s="8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8"/>
      <c r="AA172" s="8"/>
      <c r="AB172" s="7"/>
      <c r="AC172" s="32" t="s">
        <v>417</v>
      </c>
      <c r="AD172" s="32" t="s">
        <v>418</v>
      </c>
      <c r="AE172" s="7"/>
      <c r="AF172" s="8"/>
      <c r="AG172" s="8"/>
      <c r="AH172" s="7"/>
      <c r="AI172" s="8"/>
      <c r="AJ172" s="8"/>
      <c r="AK172" s="7"/>
      <c r="AL172" s="8"/>
      <c r="AM172" s="8"/>
      <c r="AN172" s="7"/>
      <c r="AO172" s="8"/>
      <c r="AP172" s="8"/>
      <c r="AQ172" s="7"/>
      <c r="AR172" s="8"/>
      <c r="AS172" s="8"/>
      <c r="AT172" s="7"/>
      <c r="AU172" s="8"/>
      <c r="AV172" s="8"/>
      <c r="AW172" s="7"/>
      <c r="AX172" s="8"/>
      <c r="AY172" s="8"/>
      <c r="AZ172" s="7"/>
      <c r="BA172" s="8"/>
      <c r="BB172" s="8"/>
      <c r="BC172" s="7"/>
    </row>
    <row r="173" spans="1:55">
      <c r="A173" s="14"/>
      <c r="B173" s="10"/>
      <c r="C173" s="7">
        <f t="shared" si="14"/>
        <v>5</v>
      </c>
      <c r="D173" s="8" t="s">
        <v>160</v>
      </c>
      <c r="E173" s="8" t="s">
        <v>156</v>
      </c>
      <c r="F173" s="13"/>
      <c r="G173" s="8" t="s">
        <v>47</v>
      </c>
      <c r="H173" s="7">
        <v>10</v>
      </c>
      <c r="I173" s="7"/>
      <c r="J173" s="7" t="s">
        <v>0</v>
      </c>
      <c r="K173" s="8"/>
      <c r="L173" s="7"/>
      <c r="M173" s="35">
        <v>2</v>
      </c>
      <c r="N173" s="8"/>
      <c r="O173" s="7"/>
      <c r="P173" s="35"/>
      <c r="Q173" s="7"/>
      <c r="R173" s="7"/>
      <c r="S173" s="7"/>
      <c r="T173" s="7"/>
      <c r="U173" s="7"/>
      <c r="V173" s="7"/>
      <c r="W173" s="7"/>
      <c r="X173" s="7"/>
      <c r="Y173" s="7"/>
      <c r="Z173" s="8"/>
      <c r="AA173" s="8"/>
      <c r="AB173" s="7"/>
      <c r="AC173" s="8"/>
      <c r="AD173" s="8"/>
      <c r="AE173" s="7"/>
      <c r="AF173" s="8"/>
      <c r="AG173" s="8"/>
      <c r="AH173" s="7"/>
      <c r="AI173" s="8"/>
      <c r="AJ173" s="8"/>
      <c r="AK173" s="7"/>
      <c r="AL173" s="8"/>
      <c r="AM173" s="8"/>
      <c r="AN173" s="7"/>
      <c r="AO173" s="8"/>
      <c r="AP173" s="8"/>
      <c r="AQ173" s="7"/>
      <c r="AR173" s="8"/>
      <c r="AS173" s="8"/>
      <c r="AT173" s="7"/>
      <c r="AU173" s="8"/>
      <c r="AV173" s="8"/>
      <c r="AW173" s="7"/>
      <c r="AX173" s="8"/>
      <c r="AY173" s="8"/>
      <c r="AZ173" s="7"/>
      <c r="BA173" s="8"/>
      <c r="BB173" s="8"/>
      <c r="BC173" s="7"/>
    </row>
    <row r="174" spans="1:55">
      <c r="A174" s="14"/>
      <c r="B174" s="10"/>
      <c r="C174" s="7">
        <f t="shared" si="14"/>
        <v>6</v>
      </c>
      <c r="D174" s="8" t="s">
        <v>161</v>
      </c>
      <c r="E174" s="8" t="s">
        <v>157</v>
      </c>
      <c r="F174" s="13"/>
      <c r="G174" s="8" t="s">
        <v>48</v>
      </c>
      <c r="H174" s="7">
        <v>50</v>
      </c>
      <c r="I174" s="7"/>
      <c r="J174" s="35" t="s">
        <v>0</v>
      </c>
      <c r="K174" s="8"/>
      <c r="L174" s="7"/>
      <c r="M174" s="7"/>
      <c r="N174" s="8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8"/>
      <c r="AA174" s="8"/>
      <c r="AB174" s="7"/>
      <c r="AC174" s="8"/>
      <c r="AD174" s="8"/>
      <c r="AE174" s="7"/>
      <c r="AF174" s="8"/>
      <c r="AG174" s="8"/>
      <c r="AH174" s="7"/>
      <c r="AI174" s="8"/>
      <c r="AJ174" s="8"/>
      <c r="AK174" s="7"/>
      <c r="AL174" s="8"/>
      <c r="AM174" s="8"/>
      <c r="AN174" s="7"/>
      <c r="AO174" s="8"/>
      <c r="AP174" s="8"/>
      <c r="AQ174" s="7"/>
      <c r="AR174" s="8"/>
      <c r="AS174" s="8"/>
      <c r="AT174" s="7"/>
      <c r="AU174" s="8"/>
      <c r="AV174" s="8"/>
      <c r="AW174" s="7"/>
      <c r="AX174" s="8"/>
      <c r="AY174" s="8"/>
      <c r="AZ174" s="7"/>
      <c r="BA174" s="8"/>
      <c r="BB174" s="8"/>
      <c r="BC174" s="7"/>
    </row>
    <row r="175" spans="1:55">
      <c r="A175" s="14"/>
      <c r="B175" s="10"/>
      <c r="C175" s="7">
        <f t="shared" si="14"/>
        <v>7</v>
      </c>
      <c r="D175" s="8" t="s">
        <v>162</v>
      </c>
      <c r="E175" s="8" t="s">
        <v>158</v>
      </c>
      <c r="F175" s="13"/>
      <c r="G175" s="8" t="s">
        <v>51</v>
      </c>
      <c r="H175" s="7"/>
      <c r="I175" s="7"/>
      <c r="J175" s="7"/>
      <c r="K175" s="8"/>
      <c r="L175" s="7"/>
      <c r="M175" s="7"/>
      <c r="N175" s="8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8"/>
      <c r="AA175" s="8"/>
      <c r="AB175" s="7"/>
      <c r="AC175" s="8"/>
      <c r="AD175" s="8"/>
      <c r="AE175" s="7"/>
      <c r="AF175" s="8"/>
      <c r="AG175" s="8"/>
      <c r="AH175" s="7"/>
      <c r="AI175" s="8"/>
      <c r="AJ175" s="8"/>
      <c r="AK175" s="7"/>
      <c r="AL175" s="8"/>
      <c r="AM175" s="8"/>
      <c r="AN175" s="7"/>
      <c r="AO175" s="8"/>
      <c r="AP175" s="8"/>
      <c r="AQ175" s="7"/>
      <c r="AR175" s="8"/>
      <c r="AS175" s="8"/>
      <c r="AT175" s="7"/>
      <c r="AU175" s="8"/>
      <c r="AV175" s="8"/>
      <c r="AW175" s="7"/>
      <c r="AX175" s="8"/>
      <c r="AY175" s="8"/>
      <c r="AZ175" s="7"/>
      <c r="BA175" s="8"/>
      <c r="BB175" s="8"/>
      <c r="BC175" s="7"/>
    </row>
    <row r="176" spans="1:55">
      <c r="A176" s="14"/>
      <c r="B176" s="10"/>
      <c r="C176" s="7">
        <f t="shared" si="14"/>
        <v>8</v>
      </c>
      <c r="D176" s="32" t="s">
        <v>423</v>
      </c>
      <c r="E176" s="8" t="s">
        <v>425</v>
      </c>
      <c r="F176" s="13"/>
      <c r="G176" s="8" t="s">
        <v>56</v>
      </c>
      <c r="H176" s="7"/>
      <c r="I176" s="7"/>
      <c r="J176" s="7"/>
      <c r="K176" s="8"/>
      <c r="L176" s="7"/>
      <c r="M176" s="7"/>
      <c r="N176" s="8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8"/>
      <c r="AA176" s="8"/>
      <c r="AB176" s="7"/>
      <c r="AC176" s="8"/>
      <c r="AD176" s="8"/>
      <c r="AE176" s="7"/>
      <c r="AF176" s="8"/>
      <c r="AG176" s="8"/>
      <c r="AH176" s="7"/>
      <c r="AI176" s="8"/>
      <c r="AJ176" s="8"/>
      <c r="AK176" s="7"/>
      <c r="AL176" s="8"/>
      <c r="AM176" s="8"/>
      <c r="AN176" s="7"/>
      <c r="AO176" s="8"/>
      <c r="AP176" s="8"/>
      <c r="AQ176" s="7"/>
      <c r="AR176" s="8"/>
      <c r="AS176" s="8"/>
      <c r="AT176" s="7"/>
      <c r="AU176" s="8"/>
      <c r="AV176" s="8"/>
      <c r="AW176" s="7"/>
      <c r="AX176" s="8"/>
      <c r="AY176" s="8"/>
      <c r="AZ176" s="7"/>
      <c r="BA176" s="8"/>
      <c r="BB176" s="8"/>
      <c r="BC176" s="7"/>
    </row>
    <row r="177" spans="1:55" ht="108">
      <c r="A177" s="14"/>
      <c r="B177" s="10"/>
      <c r="C177" s="7">
        <f t="shared" si="14"/>
        <v>9</v>
      </c>
      <c r="D177" s="32" t="s">
        <v>233</v>
      </c>
      <c r="E177" s="8" t="s">
        <v>234</v>
      </c>
      <c r="F177" s="13" t="s">
        <v>559</v>
      </c>
      <c r="G177" s="8" t="s">
        <v>49</v>
      </c>
      <c r="H177" s="7">
        <v>2</v>
      </c>
      <c r="I177" s="7"/>
      <c r="J177" s="7" t="s">
        <v>0</v>
      </c>
      <c r="K177" s="8"/>
      <c r="L177" s="7"/>
      <c r="M177" s="7"/>
      <c r="N177" s="8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8"/>
      <c r="AA177" s="8"/>
      <c r="AB177" s="7"/>
      <c r="AC177" s="8"/>
      <c r="AD177" s="8"/>
      <c r="AE177" s="7"/>
      <c r="AF177" s="8"/>
      <c r="AG177" s="8"/>
      <c r="AH177" s="7"/>
      <c r="AI177" s="8"/>
      <c r="AJ177" s="8"/>
      <c r="AK177" s="7"/>
      <c r="AL177" s="8"/>
      <c r="AM177" s="8"/>
      <c r="AN177" s="7"/>
      <c r="AO177" s="8"/>
      <c r="AP177" s="8"/>
      <c r="AQ177" s="7"/>
      <c r="AR177" s="8"/>
      <c r="AS177" s="8"/>
      <c r="AT177" s="7"/>
      <c r="AU177" s="8"/>
      <c r="AV177" s="8"/>
      <c r="AW177" s="7"/>
      <c r="AX177" s="8"/>
      <c r="AY177" s="8"/>
      <c r="AZ177" s="7"/>
      <c r="BA177" s="8"/>
      <c r="BB177" s="8"/>
      <c r="BC177" s="7"/>
    </row>
    <row r="178" spans="1:55">
      <c r="A178" s="14"/>
      <c r="B178" s="10"/>
      <c r="C178" s="7">
        <f t="shared" ref="C178:C181" si="15">C177+1</f>
        <v>10</v>
      </c>
      <c r="D178" s="32" t="s">
        <v>315</v>
      </c>
      <c r="E178" s="8" t="s">
        <v>316</v>
      </c>
      <c r="F178" s="13"/>
      <c r="G178" s="8" t="s">
        <v>50</v>
      </c>
      <c r="H178" s="7"/>
      <c r="I178" s="7"/>
      <c r="J178" s="7"/>
      <c r="K178" s="8"/>
      <c r="L178" s="7"/>
      <c r="M178" s="7"/>
      <c r="N178" s="8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8"/>
      <c r="AA178" s="8"/>
      <c r="AB178" s="7"/>
      <c r="AC178" s="8"/>
      <c r="AD178" s="8"/>
      <c r="AE178" s="7"/>
      <c r="AF178" s="8"/>
      <c r="AG178" s="8"/>
      <c r="AH178" s="7"/>
      <c r="AI178" s="8"/>
      <c r="AJ178" s="8"/>
      <c r="AK178" s="7"/>
      <c r="AL178" s="8"/>
      <c r="AM178" s="8"/>
      <c r="AN178" s="7"/>
      <c r="AO178" s="8"/>
      <c r="AP178" s="8"/>
      <c r="AQ178" s="7"/>
      <c r="AR178" s="8"/>
      <c r="AS178" s="8"/>
      <c r="AT178" s="7"/>
      <c r="AU178" s="8"/>
      <c r="AV178" s="8"/>
      <c r="AW178" s="7"/>
      <c r="AX178" s="8"/>
      <c r="AY178" s="8"/>
      <c r="AZ178" s="7"/>
      <c r="BA178" s="8"/>
      <c r="BB178" s="8"/>
      <c r="BC178" s="7"/>
    </row>
    <row r="179" spans="1:55">
      <c r="A179" s="14"/>
      <c r="B179" s="10"/>
      <c r="C179" s="7">
        <f t="shared" si="15"/>
        <v>11</v>
      </c>
      <c r="D179" s="32" t="s">
        <v>504</v>
      </c>
      <c r="E179" s="8" t="s">
        <v>503</v>
      </c>
      <c r="F179" s="13"/>
      <c r="G179" s="8" t="s">
        <v>63</v>
      </c>
      <c r="H179" s="7"/>
      <c r="I179" s="7"/>
      <c r="J179" s="7"/>
      <c r="K179" s="8"/>
      <c r="L179" s="7"/>
      <c r="M179" s="7"/>
      <c r="N179" s="8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8"/>
      <c r="AA179" s="8"/>
      <c r="AB179" s="7"/>
      <c r="AC179" s="8"/>
      <c r="AD179" s="8"/>
      <c r="AE179" s="7"/>
      <c r="AF179" s="8" t="s">
        <v>506</v>
      </c>
      <c r="AG179" s="8" t="s">
        <v>173</v>
      </c>
      <c r="AH179" s="7"/>
      <c r="AI179" s="8"/>
      <c r="AJ179" s="8"/>
      <c r="AK179" s="7"/>
      <c r="AL179" s="8"/>
      <c r="AM179" s="8"/>
      <c r="AN179" s="7"/>
      <c r="AO179" s="8"/>
      <c r="AP179" s="8"/>
      <c r="AQ179" s="7"/>
      <c r="AR179" s="8"/>
      <c r="AS179" s="8"/>
      <c r="AT179" s="7"/>
      <c r="AU179" s="8"/>
      <c r="AV179" s="8"/>
      <c r="AW179" s="7"/>
      <c r="AX179" s="8"/>
      <c r="AY179" s="8"/>
      <c r="AZ179" s="7"/>
      <c r="BA179" s="8"/>
      <c r="BB179" s="8"/>
      <c r="BC179" s="7"/>
    </row>
    <row r="180" spans="1:55">
      <c r="A180" s="14"/>
      <c r="B180" s="10"/>
      <c r="C180" s="7">
        <f t="shared" si="15"/>
        <v>12</v>
      </c>
      <c r="D180" s="32" t="s">
        <v>222</v>
      </c>
      <c r="E180" s="8" t="s">
        <v>223</v>
      </c>
      <c r="F180" s="13" t="s">
        <v>224</v>
      </c>
      <c r="G180" s="8" t="s">
        <v>63</v>
      </c>
      <c r="H180" s="7"/>
      <c r="I180" s="7"/>
      <c r="J180" s="7" t="s">
        <v>0</v>
      </c>
      <c r="K180" s="8"/>
      <c r="L180" s="7"/>
      <c r="M180" s="7"/>
      <c r="N180" s="8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8"/>
      <c r="AA180" s="8"/>
      <c r="AB180" s="7"/>
      <c r="AC180" s="8"/>
      <c r="AD180" s="8"/>
      <c r="AE180" s="7"/>
      <c r="AF180" s="8"/>
      <c r="AG180" s="8"/>
      <c r="AH180" s="7"/>
      <c r="AI180" s="8" t="s">
        <v>172</v>
      </c>
      <c r="AJ180" s="8" t="s">
        <v>173</v>
      </c>
      <c r="AK180" s="7"/>
      <c r="AL180" s="8"/>
      <c r="AM180" s="8"/>
      <c r="AN180" s="7"/>
      <c r="AO180" s="8"/>
      <c r="AP180" s="8"/>
      <c r="AQ180" s="7"/>
      <c r="AR180" s="8"/>
      <c r="AS180" s="8"/>
      <c r="AT180" s="7"/>
      <c r="AU180" s="8"/>
      <c r="AV180" s="8"/>
      <c r="AW180" s="7"/>
      <c r="AX180" s="8"/>
      <c r="AY180" s="8"/>
      <c r="AZ180" s="7"/>
      <c r="BA180" s="8"/>
      <c r="BB180" s="8"/>
      <c r="BC180" s="7"/>
    </row>
    <row r="181" spans="1:55">
      <c r="A181" s="14"/>
      <c r="B181" s="40"/>
      <c r="C181" s="7">
        <f t="shared" si="15"/>
        <v>13</v>
      </c>
      <c r="D181" s="8" t="s">
        <v>164</v>
      </c>
      <c r="E181" s="8" t="s">
        <v>166</v>
      </c>
      <c r="F181" s="13"/>
      <c r="G181" s="8" t="s">
        <v>63</v>
      </c>
      <c r="H181" s="7"/>
      <c r="I181" s="7"/>
      <c r="J181" s="7"/>
      <c r="K181" s="8"/>
      <c r="L181" s="7"/>
      <c r="M181" s="7"/>
      <c r="N181" s="8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8"/>
      <c r="AA181" s="8"/>
      <c r="AB181" s="7"/>
      <c r="AC181" s="8"/>
      <c r="AD181" s="8"/>
      <c r="AE181" s="7"/>
      <c r="AF181" s="8"/>
      <c r="AG181" s="8"/>
      <c r="AH181" s="7"/>
      <c r="AI181" s="8"/>
      <c r="AJ181" s="8"/>
      <c r="AK181" s="7"/>
      <c r="AL181" s="8" t="s">
        <v>172</v>
      </c>
      <c r="AM181" s="8" t="s">
        <v>173</v>
      </c>
      <c r="AN181" s="7"/>
      <c r="AO181" s="8"/>
      <c r="AP181" s="8"/>
      <c r="AQ181" s="7"/>
      <c r="AR181" s="8"/>
      <c r="AS181" s="8"/>
      <c r="AT181" s="7"/>
      <c r="AU181" s="8"/>
      <c r="AV181" s="8"/>
      <c r="AW181" s="7"/>
      <c r="AX181" s="8"/>
      <c r="AY181" s="8"/>
      <c r="AZ181" s="7"/>
      <c r="BA181" s="8"/>
      <c r="BB181" s="8"/>
      <c r="BC181" s="7"/>
    </row>
    <row r="182" spans="1:55">
      <c r="A182" s="14"/>
      <c r="B182" s="40"/>
      <c r="C182" s="7">
        <f>C181+1</f>
        <v>14</v>
      </c>
      <c r="D182" s="8" t="s">
        <v>165</v>
      </c>
      <c r="E182" s="8" t="s">
        <v>167</v>
      </c>
      <c r="F182" s="13"/>
      <c r="G182" s="8" t="s">
        <v>63</v>
      </c>
      <c r="H182" s="7"/>
      <c r="I182" s="7"/>
      <c r="J182" s="7"/>
      <c r="K182" s="8"/>
      <c r="L182" s="7"/>
      <c r="M182" s="7"/>
      <c r="N182" s="8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8"/>
      <c r="AA182" s="8"/>
      <c r="AB182" s="7"/>
      <c r="AC182" s="8"/>
      <c r="AD182" s="8"/>
      <c r="AE182" s="7"/>
      <c r="AF182" s="8"/>
      <c r="AG182" s="8"/>
      <c r="AH182" s="7"/>
      <c r="AI182" s="8"/>
      <c r="AJ182" s="8"/>
      <c r="AK182" s="7"/>
      <c r="AL182" s="8"/>
      <c r="AM182" s="8"/>
      <c r="AN182" s="7"/>
      <c r="AO182" s="8" t="s">
        <v>172</v>
      </c>
      <c r="AP182" s="8" t="s">
        <v>173</v>
      </c>
      <c r="AQ182" s="7"/>
      <c r="AR182" s="8"/>
      <c r="AS182" s="8"/>
      <c r="AT182" s="7"/>
      <c r="AU182" s="8"/>
      <c r="AV182" s="8"/>
      <c r="AW182" s="7"/>
      <c r="AX182" s="8"/>
      <c r="AY182" s="8"/>
      <c r="AZ182" s="7"/>
      <c r="BA182" s="8"/>
      <c r="BB182" s="8"/>
      <c r="BC182" s="7"/>
    </row>
    <row r="183" spans="1:55">
      <c r="A183" s="37">
        <v>20</v>
      </c>
      <c r="B183" s="10" t="s">
        <v>394</v>
      </c>
      <c r="C183" s="7">
        <v>1</v>
      </c>
      <c r="D183" s="8" t="s">
        <v>55</v>
      </c>
      <c r="E183" s="9" t="s">
        <v>62</v>
      </c>
      <c r="F183" s="13"/>
      <c r="G183" s="8" t="s">
        <v>61</v>
      </c>
      <c r="H183" s="7"/>
      <c r="I183" s="7"/>
      <c r="J183" s="7" t="s">
        <v>0</v>
      </c>
      <c r="K183" s="8"/>
      <c r="L183" s="7">
        <v>1</v>
      </c>
      <c r="M183" s="7"/>
      <c r="N183" s="8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8"/>
      <c r="AA183" s="8"/>
      <c r="AB183" s="7"/>
      <c r="AC183" s="8"/>
      <c r="AD183" s="8"/>
      <c r="AE183" s="7"/>
      <c r="AF183" s="8"/>
      <c r="AG183" s="8"/>
      <c r="AH183" s="7"/>
      <c r="AI183" s="8"/>
      <c r="AJ183" s="8"/>
      <c r="AK183" s="7"/>
      <c r="AL183" s="8"/>
      <c r="AM183" s="8"/>
      <c r="AN183" s="7"/>
      <c r="AO183" s="8"/>
      <c r="AP183" s="8"/>
      <c r="AQ183" s="7"/>
      <c r="AR183" s="8"/>
      <c r="AS183" s="8"/>
      <c r="AT183" s="7"/>
      <c r="AU183" s="8"/>
      <c r="AV183" s="8"/>
      <c r="AW183" s="7"/>
      <c r="AX183" s="8"/>
      <c r="AY183" s="8"/>
      <c r="AZ183" s="7"/>
      <c r="BA183" s="8"/>
      <c r="BB183" s="8"/>
      <c r="BC183" s="7"/>
    </row>
    <row r="184" spans="1:55">
      <c r="A184" s="14"/>
      <c r="B184" s="10" t="s">
        <v>429</v>
      </c>
      <c r="C184" s="7">
        <f>C183+1</f>
        <v>2</v>
      </c>
      <c r="D184" s="8" t="s">
        <v>163</v>
      </c>
      <c r="E184" s="8" t="s">
        <v>350</v>
      </c>
      <c r="F184" s="13"/>
      <c r="G184" s="8" t="s">
        <v>63</v>
      </c>
      <c r="H184" s="7"/>
      <c r="I184" s="7"/>
      <c r="J184" s="7" t="s">
        <v>0</v>
      </c>
      <c r="K184" s="8"/>
      <c r="L184" s="7"/>
      <c r="M184" s="7">
        <v>1</v>
      </c>
      <c r="N184" s="8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8" t="s">
        <v>390</v>
      </c>
      <c r="AA184" s="8" t="s">
        <v>173</v>
      </c>
      <c r="AB184" s="7" t="s">
        <v>0</v>
      </c>
      <c r="AC184" s="8"/>
      <c r="AD184" s="8"/>
      <c r="AE184" s="7"/>
      <c r="AF184" s="8"/>
      <c r="AG184" s="8"/>
      <c r="AH184" s="7"/>
      <c r="AI184" s="8"/>
      <c r="AJ184" s="8"/>
      <c r="AK184" s="7"/>
      <c r="AL184" s="8"/>
      <c r="AM184" s="8"/>
      <c r="AN184" s="7"/>
      <c r="AO184" s="8"/>
      <c r="AP184" s="8"/>
      <c r="AQ184" s="7"/>
      <c r="AR184" s="8"/>
      <c r="AS184" s="8"/>
      <c r="AT184" s="7"/>
      <c r="AU184" s="8"/>
      <c r="AV184" s="8"/>
      <c r="AW184" s="7"/>
      <c r="AX184" s="8"/>
      <c r="AY184" s="8"/>
      <c r="AZ184" s="7"/>
      <c r="BA184" s="8"/>
      <c r="BB184" s="8"/>
      <c r="BC184" s="7"/>
    </row>
    <row r="185" spans="1:55">
      <c r="A185" s="14"/>
      <c r="B185" s="10" t="s">
        <v>399</v>
      </c>
      <c r="C185" s="7">
        <f>C184+1</f>
        <v>3</v>
      </c>
      <c r="D185" s="8" t="s">
        <v>159</v>
      </c>
      <c r="E185" s="8" t="s">
        <v>402</v>
      </c>
      <c r="F185" s="13"/>
      <c r="G185" s="8" t="s">
        <v>48</v>
      </c>
      <c r="H185" s="7">
        <v>4</v>
      </c>
      <c r="I185" s="7"/>
      <c r="J185" s="7" t="s">
        <v>0</v>
      </c>
      <c r="K185" s="8"/>
      <c r="L185" s="7"/>
      <c r="M185" s="7">
        <v>2</v>
      </c>
      <c r="N185" s="8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8"/>
      <c r="AA185" s="8"/>
      <c r="AB185" s="7"/>
      <c r="AC185" s="8"/>
      <c r="AD185" s="8"/>
      <c r="AE185" s="7"/>
      <c r="AF185" s="8"/>
      <c r="AG185" s="8"/>
      <c r="AH185" s="7"/>
      <c r="AI185" s="8"/>
      <c r="AJ185" s="8"/>
      <c r="AK185" s="7"/>
      <c r="AL185" s="8"/>
      <c r="AM185" s="8"/>
      <c r="AN185" s="7"/>
      <c r="AO185" s="8"/>
      <c r="AP185" s="8"/>
      <c r="AQ185" s="7"/>
      <c r="AR185" s="8"/>
      <c r="AS185" s="8"/>
      <c r="AT185" s="7"/>
      <c r="AU185" s="8"/>
      <c r="AV185" s="8"/>
      <c r="AW185" s="7"/>
      <c r="AX185" s="8"/>
      <c r="AY185" s="8"/>
      <c r="AZ185" s="7"/>
      <c r="BA185" s="8"/>
      <c r="BB185" s="8"/>
      <c r="BC185" s="7"/>
    </row>
    <row r="186" spans="1:55">
      <c r="A186" s="14"/>
      <c r="B186" s="10" t="s">
        <v>398</v>
      </c>
      <c r="C186" s="7">
        <f>C185+1</f>
        <v>4</v>
      </c>
      <c r="D186" s="8" t="s">
        <v>168</v>
      </c>
      <c r="E186" s="8" t="s">
        <v>169</v>
      </c>
      <c r="F186" s="13"/>
      <c r="G186" s="8" t="s">
        <v>63</v>
      </c>
      <c r="H186" s="7"/>
      <c r="I186" s="7"/>
      <c r="J186" s="7" t="s">
        <v>0</v>
      </c>
      <c r="K186" s="8"/>
      <c r="L186" s="7"/>
      <c r="M186" s="7">
        <v>3</v>
      </c>
      <c r="N186" s="8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8"/>
      <c r="AA186" s="8"/>
      <c r="AB186" s="7"/>
      <c r="AC186" s="8" t="s">
        <v>417</v>
      </c>
      <c r="AD186" s="8" t="s">
        <v>418</v>
      </c>
      <c r="AE186" s="7"/>
      <c r="AF186" s="8"/>
      <c r="AG186" s="8"/>
      <c r="AH186" s="7"/>
      <c r="AI186" s="8"/>
      <c r="AJ186" s="8"/>
      <c r="AK186" s="7"/>
      <c r="AL186" s="8"/>
      <c r="AM186" s="8"/>
      <c r="AN186" s="7"/>
      <c r="AO186" s="8"/>
      <c r="AP186" s="8"/>
      <c r="AQ186" s="7"/>
      <c r="AR186" s="8"/>
      <c r="AS186" s="8"/>
      <c r="AT186" s="7"/>
      <c r="AU186" s="8"/>
      <c r="AV186" s="8"/>
      <c r="AW186" s="7"/>
      <c r="AX186" s="8"/>
      <c r="AY186" s="8"/>
      <c r="AZ186" s="7"/>
      <c r="BA186" s="8"/>
      <c r="BB186" s="8"/>
      <c r="BC186" s="7"/>
    </row>
    <row r="187" spans="1:55">
      <c r="A187" s="14"/>
      <c r="B187" s="10"/>
      <c r="C187" s="7">
        <f>C186+1</f>
        <v>5</v>
      </c>
      <c r="D187" s="8" t="s">
        <v>401</v>
      </c>
      <c r="E187" s="8" t="s">
        <v>400</v>
      </c>
      <c r="F187" s="13"/>
      <c r="G187" s="8" t="s">
        <v>63</v>
      </c>
      <c r="H187" s="7"/>
      <c r="I187" s="7"/>
      <c r="J187" s="7" t="s">
        <v>0</v>
      </c>
      <c r="K187" s="8"/>
      <c r="L187" s="7"/>
      <c r="M187" s="7">
        <v>4</v>
      </c>
      <c r="N187" s="8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8"/>
      <c r="AA187" s="8"/>
      <c r="AB187" s="7"/>
      <c r="AC187" s="8"/>
      <c r="AD187" s="8"/>
      <c r="AE187" s="7"/>
      <c r="AF187" s="8" t="s">
        <v>419</v>
      </c>
      <c r="AG187" s="8" t="s">
        <v>173</v>
      </c>
      <c r="AH187" s="7"/>
      <c r="AI187" s="8"/>
      <c r="AJ187" s="8"/>
      <c r="AK187" s="7"/>
      <c r="AL187" s="8"/>
      <c r="AM187" s="8"/>
      <c r="AN187" s="7"/>
      <c r="AO187" s="8"/>
      <c r="AP187" s="8"/>
      <c r="AQ187" s="7"/>
      <c r="AR187" s="8"/>
      <c r="AS187" s="8"/>
      <c r="AT187" s="7"/>
      <c r="AU187" s="8"/>
      <c r="AV187" s="8"/>
      <c r="AW187" s="7"/>
      <c r="AX187" s="8"/>
      <c r="AY187" s="8"/>
      <c r="AZ187" s="7"/>
      <c r="BA187" s="8"/>
      <c r="BB187" s="8"/>
      <c r="BC187" s="7"/>
    </row>
    <row r="188" spans="1:55">
      <c r="A188" s="37">
        <v>21</v>
      </c>
      <c r="B188" s="10" t="s">
        <v>395</v>
      </c>
      <c r="C188" s="7">
        <v>1</v>
      </c>
      <c r="D188" s="8" t="s">
        <v>55</v>
      </c>
      <c r="E188" s="9" t="s">
        <v>62</v>
      </c>
      <c r="F188" s="13"/>
      <c r="G188" s="8" t="s">
        <v>61</v>
      </c>
      <c r="H188" s="7"/>
      <c r="I188" s="7"/>
      <c r="J188" s="7" t="s">
        <v>0</v>
      </c>
      <c r="K188" s="8"/>
      <c r="L188" s="7">
        <v>1</v>
      </c>
      <c r="M188" s="7"/>
      <c r="N188" s="8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8"/>
      <c r="AA188" s="8"/>
      <c r="AB188" s="7"/>
      <c r="AC188" s="8"/>
      <c r="AD188" s="8"/>
      <c r="AE188" s="7"/>
      <c r="AF188" s="8"/>
      <c r="AG188" s="8"/>
      <c r="AH188" s="7"/>
      <c r="AI188" s="8"/>
      <c r="AJ188" s="8"/>
      <c r="AK188" s="7"/>
      <c r="AL188" s="8"/>
      <c r="AM188" s="8"/>
      <c r="AN188" s="7"/>
      <c r="AO188" s="8"/>
      <c r="AP188" s="8"/>
      <c r="AQ188" s="7"/>
      <c r="AR188" s="8"/>
      <c r="AS188" s="8"/>
      <c r="AT188" s="7"/>
      <c r="AU188" s="8"/>
      <c r="AV188" s="8"/>
      <c r="AW188" s="7"/>
      <c r="AX188" s="8"/>
      <c r="AY188" s="8"/>
      <c r="AZ188" s="7"/>
      <c r="BA188" s="8"/>
      <c r="BB188" s="8"/>
      <c r="BC188" s="7"/>
    </row>
    <row r="189" spans="1:55">
      <c r="A189" s="14"/>
      <c r="B189" s="10" t="s">
        <v>396</v>
      </c>
      <c r="C189" s="7">
        <f t="shared" ref="C189:C197" si="16">C188+1</f>
        <v>2</v>
      </c>
      <c r="D189" s="8" t="s">
        <v>403</v>
      </c>
      <c r="E189" s="8" t="s">
        <v>404</v>
      </c>
      <c r="F189" s="13"/>
      <c r="G189" s="8" t="s">
        <v>63</v>
      </c>
      <c r="H189" s="7"/>
      <c r="I189" s="7"/>
      <c r="J189" s="7" t="s">
        <v>0</v>
      </c>
      <c r="K189" s="8"/>
      <c r="L189" s="7"/>
      <c r="M189" s="7">
        <v>1</v>
      </c>
      <c r="N189" s="8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8" t="s">
        <v>405</v>
      </c>
      <c r="AA189" s="8" t="s">
        <v>195</v>
      </c>
      <c r="AB189" s="7" t="s">
        <v>0</v>
      </c>
      <c r="AC189" s="8"/>
      <c r="AD189" s="8"/>
      <c r="AE189" s="7"/>
      <c r="AF189" s="8"/>
      <c r="AG189" s="8"/>
      <c r="AH189" s="7"/>
      <c r="AI189" s="8"/>
      <c r="AJ189" s="8"/>
      <c r="AK189" s="7"/>
      <c r="AL189" s="8"/>
      <c r="AM189" s="8"/>
      <c r="AN189" s="7"/>
      <c r="AO189" s="8"/>
      <c r="AP189" s="8"/>
      <c r="AQ189" s="7"/>
      <c r="AR189" s="8"/>
      <c r="AS189" s="8"/>
      <c r="AT189" s="7"/>
      <c r="AU189" s="8"/>
      <c r="AV189" s="8"/>
      <c r="AW189" s="7"/>
      <c r="AX189" s="8"/>
      <c r="AY189" s="8"/>
      <c r="AZ189" s="7"/>
      <c r="BA189" s="8"/>
      <c r="BB189" s="8"/>
      <c r="BC189" s="7"/>
    </row>
    <row r="190" spans="1:55">
      <c r="A190" s="14"/>
      <c r="B190" s="10" t="s">
        <v>397</v>
      </c>
      <c r="C190" s="7">
        <f t="shared" si="16"/>
        <v>3</v>
      </c>
      <c r="D190" s="8" t="s">
        <v>196</v>
      </c>
      <c r="E190" s="8" t="s">
        <v>183</v>
      </c>
      <c r="F190" s="13" t="s">
        <v>407</v>
      </c>
      <c r="G190" s="8" t="s">
        <v>48</v>
      </c>
      <c r="H190" s="7">
        <v>5</v>
      </c>
      <c r="I190" s="7"/>
      <c r="J190" s="7" t="s">
        <v>0</v>
      </c>
      <c r="K190" s="8"/>
      <c r="L190" s="7"/>
      <c r="M190" s="7">
        <v>2</v>
      </c>
      <c r="N190" s="8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8"/>
      <c r="AA190" s="8"/>
      <c r="AB190" s="7"/>
      <c r="AC190" s="8"/>
      <c r="AD190" s="8"/>
      <c r="AE190" s="7"/>
      <c r="AF190" s="8"/>
      <c r="AG190" s="8"/>
      <c r="AH190" s="7"/>
      <c r="AI190" s="8"/>
      <c r="AJ190" s="8"/>
      <c r="AK190" s="7"/>
      <c r="AL190" s="8"/>
      <c r="AM190" s="8"/>
      <c r="AN190" s="7"/>
      <c r="AO190" s="8"/>
      <c r="AP190" s="8"/>
      <c r="AQ190" s="7"/>
      <c r="AR190" s="8"/>
      <c r="AS190" s="8"/>
      <c r="AT190" s="7"/>
      <c r="AU190" s="8"/>
      <c r="AV190" s="8"/>
      <c r="AW190" s="7"/>
      <c r="AX190" s="8"/>
      <c r="AY190" s="8"/>
      <c r="AZ190" s="7"/>
      <c r="BA190" s="8"/>
      <c r="BB190" s="8"/>
      <c r="BC190" s="7"/>
    </row>
    <row r="191" spans="1:55">
      <c r="A191" s="14"/>
      <c r="B191" s="10" t="s">
        <v>398</v>
      </c>
      <c r="C191" s="7">
        <f t="shared" si="16"/>
        <v>4</v>
      </c>
      <c r="D191" s="8" t="s">
        <v>199</v>
      </c>
      <c r="E191" s="8" t="s">
        <v>184</v>
      </c>
      <c r="F191" s="13"/>
      <c r="G191" s="8" t="s">
        <v>56</v>
      </c>
      <c r="H191" s="7"/>
      <c r="I191" s="7"/>
      <c r="J191" s="35"/>
      <c r="K191" s="8"/>
      <c r="L191" s="7"/>
      <c r="M191" s="7"/>
      <c r="N191" s="8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8"/>
      <c r="AA191" s="8"/>
      <c r="AB191" s="7"/>
      <c r="AC191" s="8"/>
      <c r="AD191" s="8"/>
      <c r="AE191" s="7"/>
      <c r="AF191" s="8"/>
      <c r="AG191" s="8"/>
      <c r="AH191" s="7"/>
      <c r="AI191" s="8"/>
      <c r="AJ191" s="8"/>
      <c r="AK191" s="7"/>
      <c r="AL191" s="8"/>
      <c r="AM191" s="8"/>
      <c r="AN191" s="7"/>
      <c r="AO191" s="8"/>
      <c r="AP191" s="8"/>
      <c r="AQ191" s="7"/>
      <c r="AR191" s="8"/>
      <c r="AS191" s="8"/>
      <c r="AT191" s="7"/>
      <c r="AU191" s="8"/>
      <c r="AV191" s="8"/>
      <c r="AW191" s="7"/>
      <c r="AX191" s="8"/>
      <c r="AY191" s="8"/>
      <c r="AZ191" s="7"/>
      <c r="BA191" s="8"/>
      <c r="BB191" s="8"/>
      <c r="BC191" s="7"/>
    </row>
    <row r="192" spans="1:55">
      <c r="A192" s="14"/>
      <c r="B192" s="10" t="s">
        <v>406</v>
      </c>
      <c r="C192" s="7">
        <f t="shared" si="16"/>
        <v>5</v>
      </c>
      <c r="D192" s="8" t="s">
        <v>190</v>
      </c>
      <c r="E192" s="8" t="s">
        <v>185</v>
      </c>
      <c r="F192" s="13" t="s">
        <v>408</v>
      </c>
      <c r="G192" s="8" t="s">
        <v>48</v>
      </c>
      <c r="H192" s="7">
        <v>50</v>
      </c>
      <c r="I192" s="7"/>
      <c r="J192" s="7"/>
      <c r="K192" s="8"/>
      <c r="L192" s="7"/>
      <c r="M192" s="7"/>
      <c r="N192" s="8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8"/>
      <c r="AA192" s="8"/>
      <c r="AB192" s="7"/>
      <c r="AC192" s="8"/>
      <c r="AD192" s="8"/>
      <c r="AE192" s="7"/>
      <c r="AF192" s="8"/>
      <c r="AG192" s="8"/>
      <c r="AH192" s="7"/>
      <c r="AI192" s="8"/>
      <c r="AJ192" s="8"/>
      <c r="AK192" s="7"/>
      <c r="AL192" s="8"/>
      <c r="AM192" s="8"/>
      <c r="AN192" s="7"/>
      <c r="AO192" s="8"/>
      <c r="AP192" s="8"/>
      <c r="AQ192" s="7"/>
      <c r="AR192" s="8"/>
      <c r="AS192" s="8"/>
      <c r="AT192" s="7"/>
      <c r="AU192" s="8"/>
      <c r="AV192" s="8"/>
      <c r="AW192" s="7"/>
      <c r="AX192" s="8"/>
      <c r="AY192" s="8"/>
      <c r="AZ192" s="7"/>
      <c r="BA192" s="8"/>
      <c r="BB192" s="8"/>
      <c r="BC192" s="7"/>
    </row>
    <row r="193" spans="1:55">
      <c r="A193" s="14"/>
      <c r="B193" s="10"/>
      <c r="C193" s="7">
        <f t="shared" si="16"/>
        <v>6</v>
      </c>
      <c r="D193" s="8" t="s">
        <v>197</v>
      </c>
      <c r="E193" s="8" t="s">
        <v>198</v>
      </c>
      <c r="F193" s="13" t="s">
        <v>409</v>
      </c>
      <c r="G193" s="8" t="s">
        <v>48</v>
      </c>
      <c r="H193" s="7">
        <v>40</v>
      </c>
      <c r="I193" s="7"/>
      <c r="J193" s="7"/>
      <c r="K193" s="8"/>
      <c r="L193" s="7"/>
      <c r="M193" s="7"/>
      <c r="N193" s="8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8"/>
      <c r="AA193" s="8"/>
      <c r="AB193" s="7"/>
      <c r="AC193" s="8"/>
      <c r="AD193" s="8"/>
      <c r="AE193" s="7"/>
      <c r="AF193" s="8"/>
      <c r="AG193" s="8"/>
      <c r="AH193" s="7"/>
      <c r="AI193" s="8"/>
      <c r="AJ193" s="8"/>
      <c r="AK193" s="7"/>
      <c r="AL193" s="8"/>
      <c r="AM193" s="8"/>
      <c r="AN193" s="7"/>
      <c r="AO193" s="8"/>
      <c r="AP193" s="8"/>
      <c r="AQ193" s="7"/>
      <c r="AR193" s="8"/>
      <c r="AS193" s="8"/>
      <c r="AT193" s="7"/>
      <c r="AU193" s="8"/>
      <c r="AV193" s="8"/>
      <c r="AW193" s="7"/>
      <c r="AX193" s="8"/>
      <c r="AY193" s="8"/>
      <c r="AZ193" s="7"/>
      <c r="BA193" s="8"/>
      <c r="BB193" s="8"/>
      <c r="BC193" s="7"/>
    </row>
    <row r="194" spans="1:55">
      <c r="A194" s="14"/>
      <c r="B194" s="10"/>
      <c r="C194" s="7">
        <f t="shared" si="16"/>
        <v>7</v>
      </c>
      <c r="D194" s="8" t="s">
        <v>191</v>
      </c>
      <c r="E194" s="8" t="s">
        <v>186</v>
      </c>
      <c r="F194" s="13"/>
      <c r="G194" s="8" t="s">
        <v>50</v>
      </c>
      <c r="H194" s="7"/>
      <c r="I194" s="7"/>
      <c r="J194" s="7" t="s">
        <v>0</v>
      </c>
      <c r="K194" s="8"/>
      <c r="L194" s="7"/>
      <c r="M194" s="7"/>
      <c r="N194" s="8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8"/>
      <c r="AA194" s="8"/>
      <c r="AB194" s="7"/>
      <c r="AC194" s="8"/>
      <c r="AD194" s="8"/>
      <c r="AE194" s="7"/>
      <c r="AF194" s="8"/>
      <c r="AG194" s="8"/>
      <c r="AH194" s="7"/>
      <c r="AI194" s="8"/>
      <c r="AJ194" s="8"/>
      <c r="AK194" s="7"/>
      <c r="AL194" s="8"/>
      <c r="AM194" s="8"/>
      <c r="AN194" s="7"/>
      <c r="AO194" s="8"/>
      <c r="AP194" s="8"/>
      <c r="AQ194" s="7"/>
      <c r="AR194" s="8"/>
      <c r="AS194" s="8"/>
      <c r="AT194" s="7"/>
      <c r="AU194" s="8"/>
      <c r="AV194" s="8"/>
      <c r="AW194" s="7"/>
      <c r="AX194" s="8"/>
      <c r="AY194" s="8"/>
      <c r="AZ194" s="7"/>
      <c r="BA194" s="8"/>
      <c r="BB194" s="8"/>
      <c r="BC194" s="7"/>
    </row>
    <row r="195" spans="1:55">
      <c r="A195" s="14"/>
      <c r="B195" s="10"/>
      <c r="C195" s="7">
        <f t="shared" si="16"/>
        <v>8</v>
      </c>
      <c r="D195" s="8" t="s">
        <v>192</v>
      </c>
      <c r="E195" s="8" t="s">
        <v>187</v>
      </c>
      <c r="F195" s="13"/>
      <c r="G195" s="8" t="s">
        <v>50</v>
      </c>
      <c r="H195" s="7"/>
      <c r="I195" s="7"/>
      <c r="J195" s="7" t="s">
        <v>0</v>
      </c>
      <c r="K195" s="8"/>
      <c r="L195" s="7"/>
      <c r="M195" s="7"/>
      <c r="N195" s="8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8"/>
      <c r="AA195" s="8"/>
      <c r="AB195" s="7"/>
      <c r="AC195" s="8"/>
      <c r="AD195" s="8"/>
      <c r="AE195" s="7"/>
      <c r="AF195" s="8"/>
      <c r="AG195" s="8"/>
      <c r="AH195" s="7"/>
      <c r="AI195" s="8"/>
      <c r="AJ195" s="8"/>
      <c r="AK195" s="7"/>
      <c r="AL195" s="8"/>
      <c r="AM195" s="8"/>
      <c r="AN195" s="7"/>
      <c r="AO195" s="8"/>
      <c r="AP195" s="8"/>
      <c r="AQ195" s="7"/>
      <c r="AR195" s="8"/>
      <c r="AS195" s="8"/>
      <c r="AT195" s="7"/>
      <c r="AU195" s="8"/>
      <c r="AV195" s="8"/>
      <c r="AW195" s="7"/>
      <c r="AX195" s="8"/>
      <c r="AY195" s="8"/>
      <c r="AZ195" s="7"/>
      <c r="BA195" s="8"/>
      <c r="BB195" s="8"/>
      <c r="BC195" s="7"/>
    </row>
    <row r="196" spans="1:55">
      <c r="A196" s="14"/>
      <c r="B196" s="10"/>
      <c r="C196" s="7">
        <f t="shared" si="16"/>
        <v>9</v>
      </c>
      <c r="D196" s="8" t="s">
        <v>193</v>
      </c>
      <c r="E196" s="8" t="s">
        <v>188</v>
      </c>
      <c r="F196" s="13"/>
      <c r="G196" s="8" t="s">
        <v>50</v>
      </c>
      <c r="H196" s="7"/>
      <c r="I196" s="7"/>
      <c r="J196" s="7" t="s">
        <v>0</v>
      </c>
      <c r="K196" s="8"/>
      <c r="L196" s="7"/>
      <c r="M196" s="7"/>
      <c r="N196" s="8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8"/>
      <c r="AA196" s="8"/>
      <c r="AB196" s="7"/>
      <c r="AC196" s="8"/>
      <c r="AD196" s="8"/>
      <c r="AE196" s="7"/>
      <c r="AF196" s="8"/>
      <c r="AG196" s="8"/>
      <c r="AH196" s="7"/>
      <c r="AI196" s="8"/>
      <c r="AJ196" s="8"/>
      <c r="AK196" s="7"/>
      <c r="AL196" s="8"/>
      <c r="AM196" s="8"/>
      <c r="AN196" s="7"/>
      <c r="AO196" s="8"/>
      <c r="AP196" s="8"/>
      <c r="AQ196" s="7"/>
      <c r="AR196" s="8"/>
      <c r="AS196" s="8"/>
      <c r="AT196" s="7"/>
      <c r="AU196" s="8"/>
      <c r="AV196" s="8"/>
      <c r="AW196" s="7"/>
      <c r="AX196" s="8"/>
      <c r="AY196" s="8"/>
      <c r="AZ196" s="7"/>
      <c r="BA196" s="8"/>
      <c r="BB196" s="8"/>
      <c r="BC196" s="7"/>
    </row>
    <row r="197" spans="1:55">
      <c r="A197" s="14"/>
      <c r="B197" s="10"/>
      <c r="C197" s="7">
        <f t="shared" si="16"/>
        <v>10</v>
      </c>
      <c r="D197" s="8" t="s">
        <v>194</v>
      </c>
      <c r="E197" s="8" t="s">
        <v>189</v>
      </c>
      <c r="F197" s="13"/>
      <c r="G197" s="8" t="s">
        <v>50</v>
      </c>
      <c r="H197" s="7"/>
      <c r="I197" s="7"/>
      <c r="J197" s="7" t="s">
        <v>0</v>
      </c>
      <c r="K197" s="8"/>
      <c r="L197" s="7"/>
      <c r="M197" s="7"/>
      <c r="N197" s="8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8"/>
      <c r="AA197" s="8"/>
      <c r="AB197" s="7"/>
      <c r="AC197" s="8"/>
      <c r="AD197" s="8"/>
      <c r="AE197" s="7"/>
      <c r="AF197" s="8"/>
      <c r="AG197" s="8"/>
      <c r="AH197" s="7"/>
      <c r="AI197" s="8"/>
      <c r="AJ197" s="8"/>
      <c r="AK197" s="7"/>
      <c r="AL197" s="8"/>
      <c r="AM197" s="8"/>
      <c r="AN197" s="7"/>
      <c r="AO197" s="8"/>
      <c r="AP197" s="8"/>
      <c r="AQ197" s="7"/>
      <c r="AR197" s="8"/>
      <c r="AS197" s="8"/>
      <c r="AT197" s="7"/>
      <c r="AU197" s="8"/>
      <c r="AV197" s="8"/>
      <c r="AW197" s="7"/>
      <c r="AX197" s="8"/>
      <c r="AY197" s="8"/>
      <c r="AZ197" s="7"/>
      <c r="BA197" s="8"/>
      <c r="BB197" s="8"/>
      <c r="BC197" s="7"/>
    </row>
    <row r="198" spans="1:55">
      <c r="A198" s="37">
        <v>22</v>
      </c>
      <c r="B198" s="10" t="s">
        <v>509</v>
      </c>
      <c r="C198" s="7">
        <v>1</v>
      </c>
      <c r="D198" s="8" t="s">
        <v>55</v>
      </c>
      <c r="E198" s="9" t="s">
        <v>79</v>
      </c>
      <c r="F198" s="13"/>
      <c r="G198" s="8" t="s">
        <v>61</v>
      </c>
      <c r="H198" s="7"/>
      <c r="I198" s="7"/>
      <c r="J198" s="7" t="s">
        <v>0</v>
      </c>
      <c r="K198" s="8"/>
      <c r="L198" s="7">
        <v>1</v>
      </c>
      <c r="M198" s="7"/>
      <c r="N198" s="8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8"/>
      <c r="AA198" s="8"/>
      <c r="AB198" s="7"/>
      <c r="AC198" s="8"/>
      <c r="AD198" s="8"/>
      <c r="AE198" s="7"/>
      <c r="AF198" s="8"/>
      <c r="AG198" s="8"/>
      <c r="AH198" s="7"/>
      <c r="AI198" s="8"/>
      <c r="AJ198" s="8"/>
      <c r="AK198" s="7"/>
      <c r="AL198" s="8"/>
      <c r="AM198" s="8"/>
      <c r="AN198" s="7"/>
      <c r="AO198" s="8"/>
      <c r="AP198" s="8"/>
      <c r="AQ198" s="7"/>
      <c r="AR198" s="8"/>
      <c r="AS198" s="8"/>
      <c r="AT198" s="7"/>
      <c r="AU198" s="8"/>
      <c r="AV198" s="8"/>
      <c r="AW198" s="7"/>
      <c r="AX198" s="8"/>
      <c r="AY198" s="8"/>
      <c r="AZ198" s="7"/>
      <c r="BA198" s="8"/>
      <c r="BB198" s="8"/>
      <c r="BC198" s="7"/>
    </row>
    <row r="199" spans="1:55">
      <c r="A199" s="14"/>
      <c r="B199" s="10" t="s">
        <v>525</v>
      </c>
      <c r="C199" s="7">
        <f t="shared" ref="C199:C204" si="17">C198+1</f>
        <v>2</v>
      </c>
      <c r="D199" s="8" t="s">
        <v>517</v>
      </c>
      <c r="E199" s="8" t="s">
        <v>511</v>
      </c>
      <c r="F199" s="13"/>
      <c r="G199" s="8" t="s">
        <v>63</v>
      </c>
      <c r="H199" s="7"/>
      <c r="I199" s="7"/>
      <c r="J199" s="7" t="s">
        <v>0</v>
      </c>
      <c r="K199" s="8"/>
      <c r="L199" s="7"/>
      <c r="M199" s="7">
        <v>1</v>
      </c>
      <c r="N199" s="8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8" t="s">
        <v>523</v>
      </c>
      <c r="AA199" s="8" t="s">
        <v>524</v>
      </c>
      <c r="AB199" s="7" t="s">
        <v>0</v>
      </c>
      <c r="AC199" s="8"/>
      <c r="AD199" s="8"/>
      <c r="AE199" s="7"/>
      <c r="AF199" s="8"/>
      <c r="AG199" s="8"/>
      <c r="AH199" s="7"/>
      <c r="AI199" s="8"/>
      <c r="AJ199" s="8"/>
      <c r="AK199" s="7"/>
      <c r="AL199" s="8"/>
      <c r="AM199" s="8"/>
      <c r="AN199" s="7"/>
      <c r="AO199" s="8"/>
      <c r="AP199" s="8"/>
      <c r="AQ199" s="7"/>
      <c r="AR199" s="8"/>
      <c r="AS199" s="8"/>
      <c r="AT199" s="7"/>
      <c r="AU199" s="8"/>
      <c r="AV199" s="8"/>
      <c r="AW199" s="7"/>
      <c r="AX199" s="8"/>
      <c r="AY199" s="8"/>
      <c r="AZ199" s="7"/>
      <c r="BA199" s="8"/>
      <c r="BB199" s="8"/>
      <c r="BC199" s="7"/>
    </row>
    <row r="200" spans="1:55">
      <c r="A200" s="14"/>
      <c r="B200" s="10" t="s">
        <v>510</v>
      </c>
      <c r="C200" s="7">
        <f t="shared" si="17"/>
        <v>3</v>
      </c>
      <c r="D200" s="8" t="s">
        <v>518</v>
      </c>
      <c r="E200" s="8" t="s">
        <v>512</v>
      </c>
      <c r="F200" s="13"/>
      <c r="G200" s="8" t="s">
        <v>50</v>
      </c>
      <c r="H200" s="7"/>
      <c r="I200" s="7"/>
      <c r="J200" s="7" t="s">
        <v>0</v>
      </c>
      <c r="K200" s="8"/>
      <c r="L200" s="7"/>
      <c r="M200" s="7"/>
      <c r="N200" s="8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8"/>
      <c r="AA200" s="8"/>
      <c r="AB200" s="7"/>
      <c r="AC200" s="8"/>
      <c r="AD200" s="8"/>
      <c r="AE200" s="7"/>
      <c r="AF200" s="8"/>
      <c r="AG200" s="8"/>
      <c r="AH200" s="7"/>
      <c r="AI200" s="8"/>
      <c r="AJ200" s="8"/>
      <c r="AK200" s="7"/>
      <c r="AL200" s="8"/>
      <c r="AM200" s="8"/>
      <c r="AN200" s="7"/>
      <c r="AO200" s="8"/>
      <c r="AP200" s="8"/>
      <c r="AQ200" s="7"/>
      <c r="AR200" s="8"/>
      <c r="AS200" s="8"/>
      <c r="AT200" s="7"/>
      <c r="AU200" s="8"/>
      <c r="AV200" s="8"/>
      <c r="AW200" s="7"/>
      <c r="AX200" s="8"/>
      <c r="AY200" s="8"/>
      <c r="AZ200" s="7"/>
      <c r="BA200" s="8"/>
      <c r="BB200" s="8"/>
      <c r="BC200" s="7"/>
    </row>
    <row r="201" spans="1:55">
      <c r="A201" s="14"/>
      <c r="B201" s="10"/>
      <c r="C201" s="7">
        <f t="shared" si="17"/>
        <v>4</v>
      </c>
      <c r="D201" s="8" t="s">
        <v>519</v>
      </c>
      <c r="E201" s="8" t="s">
        <v>513</v>
      </c>
      <c r="F201" s="13"/>
      <c r="G201" s="8" t="s">
        <v>50</v>
      </c>
      <c r="H201" s="7"/>
      <c r="I201" s="7"/>
      <c r="J201" s="7" t="s">
        <v>0</v>
      </c>
      <c r="K201" s="8"/>
      <c r="L201" s="7"/>
      <c r="M201" s="7"/>
      <c r="N201" s="8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8"/>
      <c r="AA201" s="8"/>
      <c r="AB201" s="7"/>
      <c r="AC201" s="8"/>
      <c r="AD201" s="8"/>
      <c r="AE201" s="7"/>
      <c r="AF201" s="8"/>
      <c r="AG201" s="8"/>
      <c r="AH201" s="7"/>
      <c r="AI201" s="8"/>
      <c r="AJ201" s="8"/>
      <c r="AK201" s="7"/>
      <c r="AL201" s="8"/>
      <c r="AM201" s="8"/>
      <c r="AN201" s="7"/>
      <c r="AO201" s="8"/>
      <c r="AP201" s="8"/>
      <c r="AQ201" s="7"/>
      <c r="AR201" s="8"/>
      <c r="AS201" s="8"/>
      <c r="AT201" s="7"/>
      <c r="AU201" s="8"/>
      <c r="AV201" s="8"/>
      <c r="AW201" s="7"/>
      <c r="AX201" s="8"/>
      <c r="AY201" s="8"/>
      <c r="AZ201" s="7"/>
      <c r="BA201" s="8"/>
      <c r="BB201" s="8"/>
      <c r="BC201" s="7"/>
    </row>
    <row r="202" spans="1:55">
      <c r="A202" s="14"/>
      <c r="B202" s="10"/>
      <c r="C202" s="7">
        <f t="shared" si="17"/>
        <v>5</v>
      </c>
      <c r="D202" s="8" t="s">
        <v>520</v>
      </c>
      <c r="E202" s="8" t="s">
        <v>514</v>
      </c>
      <c r="F202" s="13"/>
      <c r="G202" s="8" t="s">
        <v>50</v>
      </c>
      <c r="H202" s="7"/>
      <c r="I202" s="7"/>
      <c r="J202" s="7" t="s">
        <v>0</v>
      </c>
      <c r="K202" s="8"/>
      <c r="L202" s="7"/>
      <c r="M202" s="7"/>
      <c r="N202" s="8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8"/>
      <c r="AA202" s="8"/>
      <c r="AB202" s="7"/>
      <c r="AC202" s="8"/>
      <c r="AD202" s="8"/>
      <c r="AE202" s="7"/>
      <c r="AF202" s="8"/>
      <c r="AG202" s="8"/>
      <c r="AH202" s="7"/>
      <c r="AI202" s="8"/>
      <c r="AJ202" s="8"/>
      <c r="AK202" s="7"/>
      <c r="AL202" s="8"/>
      <c r="AM202" s="8"/>
      <c r="AN202" s="7"/>
      <c r="AO202" s="8"/>
      <c r="AP202" s="8"/>
      <c r="AQ202" s="7"/>
      <c r="AR202" s="8"/>
      <c r="AS202" s="8"/>
      <c r="AT202" s="7"/>
      <c r="AU202" s="8"/>
      <c r="AV202" s="8"/>
      <c r="AW202" s="7"/>
      <c r="AX202" s="8"/>
      <c r="AY202" s="8"/>
      <c r="AZ202" s="7"/>
      <c r="BA202" s="8"/>
      <c r="BB202" s="8"/>
      <c r="BC202" s="7"/>
    </row>
    <row r="203" spans="1:55">
      <c r="A203" s="14"/>
      <c r="B203" s="10"/>
      <c r="C203" s="7">
        <f t="shared" si="17"/>
        <v>6</v>
      </c>
      <c r="D203" s="8" t="s">
        <v>521</v>
      </c>
      <c r="E203" s="8" t="s">
        <v>515</v>
      </c>
      <c r="F203" s="13"/>
      <c r="G203" s="8" t="s">
        <v>50</v>
      </c>
      <c r="H203" s="7"/>
      <c r="I203" s="7"/>
      <c r="J203" s="7" t="s">
        <v>0</v>
      </c>
      <c r="K203" s="8"/>
      <c r="L203" s="7"/>
      <c r="M203" s="7"/>
      <c r="N203" s="8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8"/>
      <c r="AA203" s="8"/>
      <c r="AB203" s="7"/>
      <c r="AC203" s="8"/>
      <c r="AD203" s="8"/>
      <c r="AE203" s="7"/>
      <c r="AF203" s="8"/>
      <c r="AG203" s="8"/>
      <c r="AH203" s="7"/>
      <c r="AI203" s="8"/>
      <c r="AJ203" s="8"/>
      <c r="AK203" s="7"/>
      <c r="AL203" s="8"/>
      <c r="AM203" s="8"/>
      <c r="AN203" s="7"/>
      <c r="AO203" s="8"/>
      <c r="AP203" s="8"/>
      <c r="AQ203" s="7"/>
      <c r="AR203" s="8"/>
      <c r="AS203" s="8"/>
      <c r="AT203" s="7"/>
      <c r="AU203" s="8"/>
      <c r="AV203" s="8"/>
      <c r="AW203" s="7"/>
      <c r="AX203" s="8"/>
      <c r="AY203" s="8"/>
      <c r="AZ203" s="7"/>
      <c r="BA203" s="8"/>
      <c r="BB203" s="8"/>
      <c r="BC203" s="7"/>
    </row>
    <row r="204" spans="1:55">
      <c r="A204" s="14"/>
      <c r="B204" s="10"/>
      <c r="C204" s="7">
        <f t="shared" si="17"/>
        <v>7</v>
      </c>
      <c r="D204" s="8" t="s">
        <v>522</v>
      </c>
      <c r="E204" s="8" t="s">
        <v>516</v>
      </c>
      <c r="F204" s="13"/>
      <c r="G204" s="8" t="s">
        <v>50</v>
      </c>
      <c r="H204" s="7"/>
      <c r="I204" s="7"/>
      <c r="J204" s="7" t="s">
        <v>0</v>
      </c>
      <c r="K204" s="8"/>
      <c r="L204" s="7"/>
      <c r="M204" s="7"/>
      <c r="N204" s="8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8"/>
      <c r="AA204" s="8"/>
      <c r="AB204" s="7"/>
      <c r="AC204" s="8"/>
      <c r="AD204" s="8"/>
      <c r="AE204" s="7"/>
      <c r="AF204" s="8"/>
      <c r="AG204" s="8"/>
      <c r="AH204" s="7"/>
      <c r="AI204" s="8"/>
      <c r="AJ204" s="8"/>
      <c r="AK204" s="7"/>
      <c r="AL204" s="8"/>
      <c r="AM204" s="8"/>
      <c r="AN204" s="7"/>
      <c r="AO204" s="8"/>
      <c r="AP204" s="8"/>
      <c r="AQ204" s="7"/>
      <c r="AR204" s="8"/>
      <c r="AS204" s="8"/>
      <c r="AT204" s="7"/>
      <c r="AU204" s="8"/>
      <c r="AV204" s="8"/>
      <c r="AW204" s="7"/>
      <c r="AX204" s="8"/>
      <c r="AY204" s="8"/>
      <c r="AZ204" s="7"/>
      <c r="BA204" s="8"/>
      <c r="BB204" s="8"/>
      <c r="BC204" s="7"/>
    </row>
    <row r="205" spans="1:55">
      <c r="A205" s="37">
        <v>23</v>
      </c>
      <c r="B205" s="10" t="s">
        <v>206</v>
      </c>
      <c r="C205" s="7">
        <v>1</v>
      </c>
      <c r="D205" s="8" t="s">
        <v>55</v>
      </c>
      <c r="E205" s="9" t="s">
        <v>62</v>
      </c>
      <c r="F205" s="13"/>
      <c r="G205" s="8" t="s">
        <v>61</v>
      </c>
      <c r="H205" s="7"/>
      <c r="I205" s="7"/>
      <c r="J205" s="7" t="s">
        <v>0</v>
      </c>
      <c r="K205" s="8"/>
      <c r="L205" s="7">
        <v>1</v>
      </c>
      <c r="M205" s="7"/>
      <c r="N205" s="8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8"/>
      <c r="AA205" s="8"/>
      <c r="AB205" s="7"/>
      <c r="AC205" s="8"/>
      <c r="AD205" s="8"/>
      <c r="AE205" s="7"/>
      <c r="AF205" s="8"/>
      <c r="AG205" s="8"/>
      <c r="AH205" s="7"/>
      <c r="AI205" s="8"/>
      <c r="AJ205" s="8"/>
      <c r="AK205" s="7"/>
      <c r="AL205" s="8"/>
      <c r="AM205" s="8"/>
      <c r="AN205" s="7"/>
      <c r="AO205" s="8"/>
      <c r="AP205" s="8"/>
      <c r="AQ205" s="7"/>
      <c r="AR205" s="8"/>
      <c r="AS205" s="8"/>
      <c r="AT205" s="7"/>
      <c r="AU205" s="8"/>
      <c r="AV205" s="8"/>
      <c r="AW205" s="7"/>
      <c r="AX205" s="8"/>
      <c r="AY205" s="8"/>
      <c r="AZ205" s="7"/>
      <c r="BA205" s="8"/>
      <c r="BB205" s="8"/>
      <c r="BC205" s="7"/>
    </row>
    <row r="206" spans="1:55" ht="24">
      <c r="A206" s="14"/>
      <c r="B206" s="10" t="s">
        <v>207</v>
      </c>
      <c r="C206" s="7">
        <f t="shared" ref="C206:C209" si="18">C205+1</f>
        <v>2</v>
      </c>
      <c r="D206" s="8" t="s">
        <v>208</v>
      </c>
      <c r="E206" s="8" t="s">
        <v>215</v>
      </c>
      <c r="F206" s="13" t="s">
        <v>216</v>
      </c>
      <c r="G206" s="8" t="s">
        <v>49</v>
      </c>
      <c r="H206" s="7">
        <v>4</v>
      </c>
      <c r="I206" s="7"/>
      <c r="J206" s="7" t="s">
        <v>0</v>
      </c>
      <c r="K206" s="8"/>
      <c r="L206" s="7"/>
      <c r="M206" s="7">
        <v>1</v>
      </c>
      <c r="N206" s="8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8"/>
      <c r="AA206" s="8"/>
      <c r="AB206" s="7"/>
      <c r="AC206" s="8"/>
      <c r="AD206" s="8"/>
      <c r="AE206" s="7"/>
      <c r="AF206" s="8"/>
      <c r="AG206" s="8"/>
      <c r="AH206" s="7"/>
      <c r="AI206" s="8"/>
      <c r="AJ206" s="8"/>
      <c r="AK206" s="7"/>
      <c r="AL206" s="8"/>
      <c r="AM206" s="8"/>
      <c r="AN206" s="7"/>
      <c r="AO206" s="8"/>
      <c r="AP206" s="8"/>
      <c r="AQ206" s="7"/>
      <c r="AR206" s="8"/>
      <c r="AS206" s="8"/>
      <c r="AT206" s="7"/>
      <c r="AU206" s="8"/>
      <c r="AV206" s="8"/>
      <c r="AW206" s="7"/>
      <c r="AX206" s="8"/>
      <c r="AY206" s="8"/>
      <c r="AZ206" s="7"/>
      <c r="BA206" s="8"/>
      <c r="BB206" s="8"/>
      <c r="BC206" s="7"/>
    </row>
    <row r="207" spans="1:55" ht="24">
      <c r="A207" s="14"/>
      <c r="B207" s="10"/>
      <c r="C207" s="7">
        <f t="shared" si="18"/>
        <v>3</v>
      </c>
      <c r="D207" s="8" t="s">
        <v>209</v>
      </c>
      <c r="E207" s="8" t="s">
        <v>214</v>
      </c>
      <c r="F207" s="13" t="s">
        <v>217</v>
      </c>
      <c r="G207" s="8" t="s">
        <v>47</v>
      </c>
      <c r="H207" s="7">
        <v>4</v>
      </c>
      <c r="I207" s="7"/>
      <c r="J207" s="7" t="s">
        <v>0</v>
      </c>
      <c r="K207" s="8"/>
      <c r="L207" s="7"/>
      <c r="M207" s="7">
        <v>2</v>
      </c>
      <c r="N207" s="8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8"/>
      <c r="AA207" s="8"/>
      <c r="AB207" s="7"/>
      <c r="AC207" s="8"/>
      <c r="AD207" s="8"/>
      <c r="AE207" s="7"/>
      <c r="AF207" s="8"/>
      <c r="AG207" s="8"/>
      <c r="AH207" s="7"/>
      <c r="AI207" s="8"/>
      <c r="AJ207" s="8"/>
      <c r="AK207" s="7"/>
      <c r="AL207" s="8"/>
      <c r="AM207" s="8"/>
      <c r="AN207" s="7"/>
      <c r="AO207" s="8"/>
      <c r="AP207" s="8"/>
      <c r="AQ207" s="7"/>
      <c r="AR207" s="8"/>
      <c r="AS207" s="8"/>
      <c r="AT207" s="7"/>
      <c r="AU207" s="8"/>
      <c r="AV207" s="8"/>
      <c r="AW207" s="7"/>
      <c r="AX207" s="8"/>
      <c r="AY207" s="8"/>
      <c r="AZ207" s="7"/>
      <c r="BA207" s="8"/>
      <c r="BB207" s="8"/>
      <c r="BC207" s="7"/>
    </row>
    <row r="208" spans="1:55" ht="24">
      <c r="A208" s="14"/>
      <c r="B208" s="10"/>
      <c r="C208" s="7">
        <f t="shared" si="18"/>
        <v>4</v>
      </c>
      <c r="D208" s="8" t="s">
        <v>211</v>
      </c>
      <c r="E208" s="8" t="s">
        <v>212</v>
      </c>
      <c r="F208" s="13" t="s">
        <v>218</v>
      </c>
      <c r="G208" s="8" t="s">
        <v>48</v>
      </c>
      <c r="H208" s="7">
        <v>200</v>
      </c>
      <c r="I208" s="7"/>
      <c r="J208" s="7"/>
      <c r="K208" s="8"/>
      <c r="L208" s="7"/>
      <c r="M208" s="7"/>
      <c r="N208" s="8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8"/>
      <c r="AA208" s="8"/>
      <c r="AB208" s="7"/>
      <c r="AC208" s="8"/>
      <c r="AD208" s="8"/>
      <c r="AE208" s="7"/>
      <c r="AF208" s="8"/>
      <c r="AG208" s="8"/>
      <c r="AH208" s="7"/>
      <c r="AI208" s="8"/>
      <c r="AJ208" s="8"/>
      <c r="AK208" s="7"/>
      <c r="AL208" s="8"/>
      <c r="AM208" s="8"/>
      <c r="AN208" s="7"/>
      <c r="AO208" s="8"/>
      <c r="AP208" s="8"/>
      <c r="AQ208" s="7"/>
      <c r="AR208" s="8"/>
      <c r="AS208" s="8"/>
      <c r="AT208" s="7"/>
      <c r="AU208" s="8"/>
      <c r="AV208" s="8"/>
      <c r="AW208" s="7"/>
      <c r="AX208" s="8"/>
      <c r="AY208" s="8"/>
      <c r="AZ208" s="7"/>
      <c r="BA208" s="8"/>
      <c r="BB208" s="8"/>
      <c r="BC208" s="7"/>
    </row>
    <row r="209" spans="1:55" ht="24">
      <c r="A209" s="14"/>
      <c r="B209" s="10"/>
      <c r="C209" s="7">
        <f t="shared" si="18"/>
        <v>5</v>
      </c>
      <c r="D209" s="8" t="s">
        <v>210</v>
      </c>
      <c r="E209" s="8" t="s">
        <v>213</v>
      </c>
      <c r="F209" s="13" t="s">
        <v>219</v>
      </c>
      <c r="G209" s="8" t="s">
        <v>48</v>
      </c>
      <c r="H209" s="7">
        <v>200</v>
      </c>
      <c r="I209" s="7"/>
      <c r="J209" s="7"/>
      <c r="K209" s="8"/>
      <c r="L209" s="7"/>
      <c r="M209" s="7"/>
      <c r="N209" s="8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8"/>
      <c r="AA209" s="8"/>
      <c r="AB209" s="7"/>
      <c r="AC209" s="8"/>
      <c r="AD209" s="8"/>
      <c r="AE209" s="7"/>
      <c r="AF209" s="8"/>
      <c r="AG209" s="8"/>
      <c r="AH209" s="7"/>
      <c r="AI209" s="8"/>
      <c r="AJ209" s="8"/>
      <c r="AK209" s="7"/>
      <c r="AL209" s="8"/>
      <c r="AM209" s="8"/>
      <c r="AN209" s="7"/>
      <c r="AO209" s="8"/>
      <c r="AP209" s="8"/>
      <c r="AQ209" s="7"/>
      <c r="AR209" s="8"/>
      <c r="AS209" s="8"/>
      <c r="AT209" s="7"/>
      <c r="AU209" s="8"/>
      <c r="AV209" s="8"/>
      <c r="AW209" s="7"/>
      <c r="AX209" s="8"/>
      <c r="AY209" s="8"/>
      <c r="AZ209" s="7"/>
      <c r="BA209" s="8"/>
      <c r="BB209" s="8"/>
      <c r="BC209" s="7"/>
    </row>
    <row r="210" spans="1:55">
      <c r="A210" s="37">
        <v>24</v>
      </c>
      <c r="B210" s="10" t="s">
        <v>435</v>
      </c>
      <c r="C210" s="7">
        <v>1</v>
      </c>
      <c r="D210" s="8" t="s">
        <v>55</v>
      </c>
      <c r="E210" s="9" t="s">
        <v>62</v>
      </c>
      <c r="F210" s="13"/>
      <c r="G210" s="8" t="s">
        <v>61</v>
      </c>
      <c r="H210" s="7"/>
      <c r="I210" s="7"/>
      <c r="J210" s="7" t="s">
        <v>0</v>
      </c>
      <c r="K210" s="8"/>
      <c r="L210" s="7">
        <v>1</v>
      </c>
      <c r="M210" s="7"/>
      <c r="N210" s="8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8"/>
      <c r="AA210" s="8"/>
      <c r="AB210" s="7"/>
      <c r="AC210" s="8"/>
      <c r="AD210" s="8"/>
      <c r="AE210" s="7"/>
      <c r="AF210" s="8"/>
      <c r="AG210" s="8"/>
      <c r="AH210" s="7"/>
      <c r="AI210" s="8"/>
      <c r="AJ210" s="8"/>
      <c r="AK210" s="7"/>
      <c r="AL210" s="8"/>
      <c r="AM210" s="8"/>
      <c r="AN210" s="7"/>
      <c r="AO210" s="8"/>
      <c r="AP210" s="8"/>
      <c r="AQ210" s="7"/>
      <c r="AR210" s="8"/>
      <c r="AS210" s="8"/>
      <c r="AT210" s="7"/>
      <c r="AU210" s="8"/>
      <c r="AV210" s="8"/>
      <c r="AW210" s="7"/>
      <c r="AX210" s="8"/>
      <c r="AY210" s="8"/>
      <c r="AZ210" s="7"/>
      <c r="BA210" s="8"/>
      <c r="BB210" s="8"/>
      <c r="BC210" s="7"/>
    </row>
    <row r="211" spans="1:55">
      <c r="A211" s="14"/>
      <c r="B211" s="10" t="s">
        <v>434</v>
      </c>
      <c r="C211" s="7">
        <f t="shared" ref="C211:C224" si="19">C210+1</f>
        <v>2</v>
      </c>
      <c r="D211" s="8" t="s">
        <v>428</v>
      </c>
      <c r="E211" s="8" t="s">
        <v>430</v>
      </c>
      <c r="F211" s="13"/>
      <c r="G211" s="8" t="s">
        <v>63</v>
      </c>
      <c r="H211" s="7"/>
      <c r="I211" s="7"/>
      <c r="J211" s="7" t="s">
        <v>0</v>
      </c>
      <c r="K211" s="8"/>
      <c r="L211" s="7"/>
      <c r="M211" s="7">
        <v>1</v>
      </c>
      <c r="N211" s="8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8" t="s">
        <v>431</v>
      </c>
      <c r="AA211" s="8" t="s">
        <v>173</v>
      </c>
      <c r="AB211" s="7" t="s">
        <v>0</v>
      </c>
      <c r="AC211" s="8"/>
      <c r="AD211" s="8"/>
      <c r="AE211" s="7"/>
      <c r="AF211" s="8"/>
      <c r="AG211" s="8"/>
      <c r="AH211" s="7"/>
      <c r="AI211" s="8"/>
      <c r="AJ211" s="8"/>
      <c r="AK211" s="7"/>
      <c r="AL211" s="8"/>
      <c r="AM211" s="8"/>
      <c r="AN211" s="7"/>
      <c r="AO211" s="8"/>
      <c r="AP211" s="8"/>
      <c r="AQ211" s="7"/>
      <c r="AR211" s="8"/>
      <c r="AS211" s="8"/>
      <c r="AT211" s="7"/>
      <c r="AU211" s="8"/>
      <c r="AV211" s="8"/>
      <c r="AW211" s="7"/>
      <c r="AX211" s="8"/>
      <c r="AY211" s="8"/>
      <c r="AZ211" s="7"/>
      <c r="BA211" s="8"/>
      <c r="BB211" s="8"/>
      <c r="BC211" s="7"/>
    </row>
    <row r="212" spans="1:55">
      <c r="A212" s="14"/>
      <c r="B212" s="10" t="s">
        <v>426</v>
      </c>
      <c r="C212" s="7">
        <f t="shared" si="19"/>
        <v>3</v>
      </c>
      <c r="D212" s="8" t="s">
        <v>427</v>
      </c>
      <c r="E212" s="8" t="s">
        <v>432</v>
      </c>
      <c r="F212" s="13"/>
      <c r="G212" s="8" t="s">
        <v>63</v>
      </c>
      <c r="H212" s="7"/>
      <c r="I212" s="7"/>
      <c r="J212" s="7" t="s">
        <v>0</v>
      </c>
      <c r="K212" s="8"/>
      <c r="L212" s="7"/>
      <c r="M212" s="7">
        <v>2</v>
      </c>
      <c r="N212" s="8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8"/>
      <c r="AA212" s="8"/>
      <c r="AB212" s="7"/>
      <c r="AC212" s="8" t="s">
        <v>433</v>
      </c>
      <c r="AD212" s="8" t="s">
        <v>173</v>
      </c>
      <c r="AE212" s="7"/>
      <c r="AF212" s="8"/>
      <c r="AG212" s="8"/>
      <c r="AH212" s="7"/>
      <c r="AI212" s="8"/>
      <c r="AJ212" s="8"/>
      <c r="AK212" s="7"/>
      <c r="AL212" s="8"/>
      <c r="AM212" s="8"/>
      <c r="AN212" s="7"/>
      <c r="AO212" s="8"/>
      <c r="AP212" s="8"/>
      <c r="AQ212" s="7"/>
      <c r="AR212" s="8"/>
      <c r="AS212" s="8"/>
      <c r="AT212" s="7"/>
      <c r="AU212" s="8"/>
      <c r="AV212" s="8"/>
      <c r="AW212" s="7"/>
      <c r="AX212" s="8"/>
      <c r="AY212" s="8"/>
      <c r="AZ212" s="7"/>
      <c r="BA212" s="8"/>
      <c r="BB212" s="8"/>
      <c r="BC212" s="7"/>
    </row>
    <row r="213" spans="1:55">
      <c r="A213" s="14"/>
      <c r="B213" s="10"/>
      <c r="C213" s="7">
        <f t="shared" si="19"/>
        <v>4</v>
      </c>
      <c r="D213" s="8" t="s">
        <v>436</v>
      </c>
      <c r="E213" s="8" t="s">
        <v>448</v>
      </c>
      <c r="F213" s="13"/>
      <c r="G213" s="8" t="s">
        <v>56</v>
      </c>
      <c r="H213" s="7"/>
      <c r="I213" s="7"/>
      <c r="J213" s="7"/>
      <c r="K213" s="8"/>
      <c r="L213" s="7"/>
      <c r="M213" s="7"/>
      <c r="N213" s="8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8"/>
      <c r="AA213" s="8"/>
      <c r="AB213" s="7"/>
      <c r="AC213" s="8"/>
      <c r="AD213" s="8"/>
      <c r="AE213" s="7"/>
      <c r="AF213" s="8"/>
      <c r="AG213" s="8"/>
      <c r="AH213" s="7"/>
      <c r="AI213" s="8"/>
      <c r="AJ213" s="8"/>
      <c r="AK213" s="7"/>
      <c r="AL213" s="8"/>
      <c r="AM213" s="8"/>
      <c r="AN213" s="7"/>
      <c r="AO213" s="8"/>
      <c r="AP213" s="8"/>
      <c r="AQ213" s="7"/>
      <c r="AR213" s="8"/>
      <c r="AS213" s="8"/>
      <c r="AT213" s="7"/>
      <c r="AU213" s="8"/>
      <c r="AV213" s="8"/>
      <c r="AW213" s="7"/>
      <c r="AX213" s="8"/>
      <c r="AY213" s="8"/>
      <c r="AZ213" s="7"/>
      <c r="BA213" s="8"/>
      <c r="BB213" s="8"/>
      <c r="BC213" s="7"/>
    </row>
    <row r="214" spans="1:55">
      <c r="A214" s="14"/>
      <c r="B214" s="10"/>
      <c r="C214" s="7">
        <f t="shared" si="19"/>
        <v>5</v>
      </c>
      <c r="D214" s="8" t="s">
        <v>437</v>
      </c>
      <c r="E214" s="8" t="s">
        <v>449</v>
      </c>
      <c r="F214" s="13"/>
      <c r="G214" s="8" t="s">
        <v>56</v>
      </c>
      <c r="H214" s="7"/>
      <c r="I214" s="7"/>
      <c r="J214" s="7"/>
      <c r="K214" s="8"/>
      <c r="L214" s="7"/>
      <c r="M214" s="7"/>
      <c r="N214" s="8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8"/>
      <c r="AA214" s="8"/>
      <c r="AB214" s="7"/>
      <c r="AC214" s="8"/>
      <c r="AD214" s="8"/>
      <c r="AE214" s="7"/>
      <c r="AF214" s="8"/>
      <c r="AG214" s="8"/>
      <c r="AH214" s="7"/>
      <c r="AI214" s="8"/>
      <c r="AJ214" s="8"/>
      <c r="AK214" s="7"/>
      <c r="AL214" s="8"/>
      <c r="AM214" s="8"/>
      <c r="AN214" s="7"/>
      <c r="AO214" s="8"/>
      <c r="AP214" s="8"/>
      <c r="AQ214" s="7"/>
      <c r="AR214" s="8"/>
      <c r="AS214" s="8"/>
      <c r="AT214" s="7"/>
      <c r="AU214" s="8"/>
      <c r="AV214" s="8"/>
      <c r="AW214" s="7"/>
      <c r="AX214" s="8"/>
      <c r="AY214" s="8"/>
      <c r="AZ214" s="7"/>
      <c r="BA214" s="8"/>
      <c r="BB214" s="8"/>
      <c r="BC214" s="7"/>
    </row>
    <row r="215" spans="1:55">
      <c r="A215" s="14"/>
      <c r="B215" s="10"/>
      <c r="C215" s="7">
        <f t="shared" si="19"/>
        <v>6</v>
      </c>
      <c r="D215" s="8" t="s">
        <v>438</v>
      </c>
      <c r="E215" s="8" t="s">
        <v>450</v>
      </c>
      <c r="F215" s="13"/>
      <c r="G215" s="8" t="s">
        <v>56</v>
      </c>
      <c r="H215" s="7"/>
      <c r="I215" s="7"/>
      <c r="J215" s="35"/>
      <c r="K215" s="8"/>
      <c r="L215" s="7"/>
      <c r="M215" s="7"/>
      <c r="N215" s="8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8"/>
      <c r="AA215" s="8"/>
      <c r="AB215" s="7"/>
      <c r="AC215" s="8"/>
      <c r="AD215" s="8"/>
      <c r="AE215" s="7"/>
      <c r="AF215" s="8"/>
      <c r="AG215" s="8"/>
      <c r="AH215" s="7"/>
      <c r="AI215" s="8"/>
      <c r="AJ215" s="8"/>
      <c r="AK215" s="7"/>
      <c r="AL215" s="8"/>
      <c r="AM215" s="8"/>
      <c r="AN215" s="7"/>
      <c r="AO215" s="8"/>
      <c r="AP215" s="8"/>
      <c r="AQ215" s="7"/>
      <c r="AR215" s="8"/>
      <c r="AS215" s="8"/>
      <c r="AT215" s="7"/>
      <c r="AU215" s="8"/>
      <c r="AV215" s="8"/>
      <c r="AW215" s="7"/>
      <c r="AX215" s="8"/>
      <c r="AY215" s="8"/>
      <c r="AZ215" s="7"/>
      <c r="BA215" s="8"/>
      <c r="BB215" s="8"/>
      <c r="BC215" s="7"/>
    </row>
    <row r="216" spans="1:55">
      <c r="A216" s="14"/>
      <c r="B216" s="10"/>
      <c r="C216" s="7">
        <f t="shared" si="19"/>
        <v>7</v>
      </c>
      <c r="D216" s="8" t="s">
        <v>439</v>
      </c>
      <c r="E216" s="8" t="s">
        <v>451</v>
      </c>
      <c r="F216" s="13"/>
      <c r="G216" s="8" t="s">
        <v>56</v>
      </c>
      <c r="H216" s="7"/>
      <c r="I216" s="7"/>
      <c r="J216" s="35"/>
      <c r="K216" s="8"/>
      <c r="L216" s="7"/>
      <c r="M216" s="7"/>
      <c r="N216" s="8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8"/>
      <c r="AA216" s="8"/>
      <c r="AB216" s="7"/>
      <c r="AC216" s="8"/>
      <c r="AD216" s="8"/>
      <c r="AE216" s="7"/>
      <c r="AF216" s="8"/>
      <c r="AG216" s="8"/>
      <c r="AH216" s="7"/>
      <c r="AI216" s="8"/>
      <c r="AJ216" s="8"/>
      <c r="AK216" s="7"/>
      <c r="AL216" s="8"/>
      <c r="AM216" s="8"/>
      <c r="AN216" s="7"/>
      <c r="AO216" s="8"/>
      <c r="AP216" s="8"/>
      <c r="AQ216" s="7"/>
      <c r="AR216" s="8"/>
      <c r="AS216" s="8"/>
      <c r="AT216" s="7"/>
      <c r="AU216" s="8"/>
      <c r="AV216" s="8"/>
      <c r="AW216" s="7"/>
      <c r="AX216" s="8"/>
      <c r="AY216" s="8"/>
      <c r="AZ216" s="7"/>
      <c r="BA216" s="8"/>
      <c r="BB216" s="8"/>
      <c r="BC216" s="7"/>
    </row>
    <row r="217" spans="1:55">
      <c r="A217" s="14"/>
      <c r="B217" s="10"/>
      <c r="C217" s="7">
        <f t="shared" si="19"/>
        <v>8</v>
      </c>
      <c r="D217" s="8" t="s">
        <v>440</v>
      </c>
      <c r="E217" s="8" t="s">
        <v>452</v>
      </c>
      <c r="F217" s="13"/>
      <c r="G217" s="8" t="s">
        <v>56</v>
      </c>
      <c r="H217" s="7"/>
      <c r="I217" s="7"/>
      <c r="J217" s="35"/>
      <c r="K217" s="8"/>
      <c r="L217" s="7"/>
      <c r="M217" s="7"/>
      <c r="N217" s="8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8"/>
      <c r="AA217" s="8"/>
      <c r="AB217" s="7"/>
      <c r="AC217" s="8"/>
      <c r="AD217" s="8"/>
      <c r="AE217" s="7"/>
      <c r="AF217" s="8"/>
      <c r="AG217" s="8"/>
      <c r="AH217" s="7"/>
      <c r="AI217" s="8"/>
      <c r="AJ217" s="8"/>
      <c r="AK217" s="7"/>
      <c r="AL217" s="8"/>
      <c r="AM217" s="8"/>
      <c r="AN217" s="7"/>
      <c r="AO217" s="8"/>
      <c r="AP217" s="8"/>
      <c r="AQ217" s="7"/>
      <c r="AR217" s="8"/>
      <c r="AS217" s="8"/>
      <c r="AT217" s="7"/>
      <c r="AU217" s="8"/>
      <c r="AV217" s="8"/>
      <c r="AW217" s="7"/>
      <c r="AX217" s="8"/>
      <c r="AY217" s="8"/>
      <c r="AZ217" s="7"/>
      <c r="BA217" s="8"/>
      <c r="BB217" s="8"/>
      <c r="BC217" s="7"/>
    </row>
    <row r="218" spans="1:55">
      <c r="A218" s="14"/>
      <c r="B218" s="10"/>
      <c r="C218" s="7">
        <f t="shared" si="19"/>
        <v>9</v>
      </c>
      <c r="D218" s="8" t="s">
        <v>441</v>
      </c>
      <c r="E218" s="8" t="s">
        <v>453</v>
      </c>
      <c r="F218" s="13"/>
      <c r="G218" s="8" t="s">
        <v>56</v>
      </c>
      <c r="H218" s="7"/>
      <c r="I218" s="7"/>
      <c r="J218" s="35"/>
      <c r="K218" s="8"/>
      <c r="L218" s="7"/>
      <c r="M218" s="7"/>
      <c r="N218" s="8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8"/>
      <c r="AA218" s="8"/>
      <c r="AB218" s="7"/>
      <c r="AC218" s="8"/>
      <c r="AD218" s="8"/>
      <c r="AE218" s="7"/>
      <c r="AF218" s="8"/>
      <c r="AG218" s="8"/>
      <c r="AH218" s="7"/>
      <c r="AI218" s="8"/>
      <c r="AJ218" s="8"/>
      <c r="AK218" s="7"/>
      <c r="AL218" s="8"/>
      <c r="AM218" s="8"/>
      <c r="AN218" s="7"/>
      <c r="AO218" s="8"/>
      <c r="AP218" s="8"/>
      <c r="AQ218" s="7"/>
      <c r="AR218" s="8"/>
      <c r="AS218" s="8"/>
      <c r="AT218" s="7"/>
      <c r="AU218" s="8"/>
      <c r="AV218" s="8"/>
      <c r="AW218" s="7"/>
      <c r="AX218" s="8"/>
      <c r="AY218" s="8"/>
      <c r="AZ218" s="7"/>
      <c r="BA218" s="8"/>
      <c r="BB218" s="8"/>
      <c r="BC218" s="7"/>
    </row>
    <row r="219" spans="1:55">
      <c r="A219" s="14"/>
      <c r="B219" s="10"/>
      <c r="C219" s="7">
        <f t="shared" si="19"/>
        <v>10</v>
      </c>
      <c r="D219" s="8" t="s">
        <v>442</v>
      </c>
      <c r="E219" s="8" t="s">
        <v>454</v>
      </c>
      <c r="F219" s="13"/>
      <c r="G219" s="8" t="s">
        <v>56</v>
      </c>
      <c r="H219" s="7"/>
      <c r="I219" s="7"/>
      <c r="J219" s="35"/>
      <c r="K219" s="8"/>
      <c r="L219" s="7"/>
      <c r="M219" s="7"/>
      <c r="N219" s="8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8"/>
      <c r="AA219" s="8"/>
      <c r="AB219" s="7"/>
      <c r="AC219" s="8"/>
      <c r="AD219" s="8"/>
      <c r="AE219" s="7"/>
      <c r="AF219" s="8"/>
      <c r="AG219" s="8"/>
      <c r="AH219" s="7"/>
      <c r="AI219" s="8"/>
      <c r="AJ219" s="8"/>
      <c r="AK219" s="7"/>
      <c r="AL219" s="8"/>
      <c r="AM219" s="8"/>
      <c r="AN219" s="7"/>
      <c r="AO219" s="8"/>
      <c r="AP219" s="8"/>
      <c r="AQ219" s="7"/>
      <c r="AR219" s="8"/>
      <c r="AS219" s="8"/>
      <c r="AT219" s="7"/>
      <c r="AU219" s="8"/>
      <c r="AV219" s="8"/>
      <c r="AW219" s="7"/>
      <c r="AX219" s="8"/>
      <c r="AY219" s="8"/>
      <c r="AZ219" s="7"/>
      <c r="BA219" s="8"/>
      <c r="BB219" s="8"/>
      <c r="BC219" s="7"/>
    </row>
    <row r="220" spans="1:55">
      <c r="A220" s="14"/>
      <c r="B220" s="10"/>
      <c r="C220" s="7">
        <f t="shared" si="19"/>
        <v>11</v>
      </c>
      <c r="D220" s="8" t="s">
        <v>443</v>
      </c>
      <c r="E220" s="8" t="s">
        <v>455</v>
      </c>
      <c r="F220" s="13"/>
      <c r="G220" s="8" t="s">
        <v>56</v>
      </c>
      <c r="H220" s="7"/>
      <c r="I220" s="7"/>
      <c r="J220" s="35"/>
      <c r="K220" s="8"/>
      <c r="L220" s="7"/>
      <c r="M220" s="7"/>
      <c r="N220" s="8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8"/>
      <c r="AA220" s="8"/>
      <c r="AB220" s="7"/>
      <c r="AC220" s="8"/>
      <c r="AD220" s="8"/>
      <c r="AE220" s="7"/>
      <c r="AF220" s="8"/>
      <c r="AG220" s="8"/>
      <c r="AH220" s="7"/>
      <c r="AI220" s="8"/>
      <c r="AJ220" s="8"/>
      <c r="AK220" s="7"/>
      <c r="AL220" s="8"/>
      <c r="AM220" s="8"/>
      <c r="AN220" s="7"/>
      <c r="AO220" s="8"/>
      <c r="AP220" s="8"/>
      <c r="AQ220" s="7"/>
      <c r="AR220" s="8"/>
      <c r="AS220" s="8"/>
      <c r="AT220" s="7"/>
      <c r="AU220" s="8"/>
      <c r="AV220" s="8"/>
      <c r="AW220" s="7"/>
      <c r="AX220" s="8"/>
      <c r="AY220" s="8"/>
      <c r="AZ220" s="7"/>
      <c r="BA220" s="8"/>
      <c r="BB220" s="8"/>
      <c r="BC220" s="7"/>
    </row>
    <row r="221" spans="1:55">
      <c r="A221" s="14"/>
      <c r="B221" s="10"/>
      <c r="C221" s="7">
        <f t="shared" si="19"/>
        <v>12</v>
      </c>
      <c r="D221" s="8" t="s">
        <v>444</v>
      </c>
      <c r="E221" s="8" t="s">
        <v>456</v>
      </c>
      <c r="F221" s="13"/>
      <c r="G221" s="8" t="s">
        <v>56</v>
      </c>
      <c r="H221" s="7"/>
      <c r="I221" s="7"/>
      <c r="J221" s="35"/>
      <c r="K221" s="8"/>
      <c r="L221" s="7"/>
      <c r="M221" s="7"/>
      <c r="N221" s="8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8"/>
      <c r="AA221" s="8"/>
      <c r="AB221" s="7"/>
      <c r="AC221" s="8"/>
      <c r="AD221" s="8"/>
      <c r="AE221" s="7"/>
      <c r="AF221" s="8"/>
      <c r="AG221" s="8"/>
      <c r="AH221" s="7"/>
      <c r="AI221" s="8"/>
      <c r="AJ221" s="8"/>
      <c r="AK221" s="7"/>
      <c r="AL221" s="8"/>
      <c r="AM221" s="8"/>
      <c r="AN221" s="7"/>
      <c r="AO221" s="8"/>
      <c r="AP221" s="8"/>
      <c r="AQ221" s="7"/>
      <c r="AR221" s="8"/>
      <c r="AS221" s="8"/>
      <c r="AT221" s="7"/>
      <c r="AU221" s="8"/>
      <c r="AV221" s="8"/>
      <c r="AW221" s="7"/>
      <c r="AX221" s="8"/>
      <c r="AY221" s="8"/>
      <c r="AZ221" s="7"/>
      <c r="BA221" s="8"/>
      <c r="BB221" s="8"/>
      <c r="BC221" s="7"/>
    </row>
    <row r="222" spans="1:55">
      <c r="A222" s="14"/>
      <c r="B222" s="10"/>
      <c r="C222" s="7">
        <f t="shared" si="19"/>
        <v>13</v>
      </c>
      <c r="D222" s="8" t="s">
        <v>445</v>
      </c>
      <c r="E222" s="8" t="s">
        <v>457</v>
      </c>
      <c r="F222" s="13"/>
      <c r="G222" s="8" t="s">
        <v>56</v>
      </c>
      <c r="H222" s="7"/>
      <c r="I222" s="7"/>
      <c r="J222" s="35"/>
      <c r="K222" s="8"/>
      <c r="L222" s="7"/>
      <c r="M222" s="7"/>
      <c r="N222" s="8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8"/>
      <c r="AA222" s="8"/>
      <c r="AB222" s="7"/>
      <c r="AC222" s="8"/>
      <c r="AD222" s="8"/>
      <c r="AE222" s="7"/>
      <c r="AF222" s="8"/>
      <c r="AG222" s="8"/>
      <c r="AH222" s="7"/>
      <c r="AI222" s="8"/>
      <c r="AJ222" s="8"/>
      <c r="AK222" s="7"/>
      <c r="AL222" s="8"/>
      <c r="AM222" s="8"/>
      <c r="AN222" s="7"/>
      <c r="AO222" s="8"/>
      <c r="AP222" s="8"/>
      <c r="AQ222" s="7"/>
      <c r="AR222" s="8"/>
      <c r="AS222" s="8"/>
      <c r="AT222" s="7"/>
      <c r="AU222" s="8"/>
      <c r="AV222" s="8"/>
      <c r="AW222" s="7"/>
      <c r="AX222" s="8"/>
      <c r="AY222" s="8"/>
      <c r="AZ222" s="7"/>
      <c r="BA222" s="8"/>
      <c r="BB222" s="8"/>
      <c r="BC222" s="7"/>
    </row>
    <row r="223" spans="1:55">
      <c r="A223" s="14"/>
      <c r="B223" s="10"/>
      <c r="C223" s="7">
        <f t="shared" si="19"/>
        <v>14</v>
      </c>
      <c r="D223" s="8" t="s">
        <v>446</v>
      </c>
      <c r="E223" s="8" t="s">
        <v>458</v>
      </c>
      <c r="F223" s="13"/>
      <c r="G223" s="8" t="s">
        <v>56</v>
      </c>
      <c r="H223" s="7"/>
      <c r="I223" s="7"/>
      <c r="J223" s="35"/>
      <c r="K223" s="8"/>
      <c r="L223" s="7"/>
      <c r="M223" s="7"/>
      <c r="N223" s="8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8"/>
      <c r="AA223" s="8"/>
      <c r="AB223" s="7"/>
      <c r="AC223" s="8"/>
      <c r="AD223" s="8"/>
      <c r="AE223" s="7"/>
      <c r="AF223" s="8"/>
      <c r="AG223" s="8"/>
      <c r="AH223" s="7"/>
      <c r="AI223" s="8"/>
      <c r="AJ223" s="8"/>
      <c r="AK223" s="7"/>
      <c r="AL223" s="8"/>
      <c r="AM223" s="8"/>
      <c r="AN223" s="7"/>
      <c r="AO223" s="8"/>
      <c r="AP223" s="8"/>
      <c r="AQ223" s="7"/>
      <c r="AR223" s="8"/>
      <c r="AS223" s="8"/>
      <c r="AT223" s="7"/>
      <c r="AU223" s="8"/>
      <c r="AV223" s="8"/>
      <c r="AW223" s="7"/>
      <c r="AX223" s="8"/>
      <c r="AY223" s="8"/>
      <c r="AZ223" s="7"/>
      <c r="BA223" s="8"/>
      <c r="BB223" s="8"/>
      <c r="BC223" s="7"/>
    </row>
    <row r="224" spans="1:55">
      <c r="A224" s="14"/>
      <c r="B224" s="10"/>
      <c r="C224" s="7">
        <f t="shared" si="19"/>
        <v>15</v>
      </c>
      <c r="D224" s="8" t="s">
        <v>447</v>
      </c>
      <c r="E224" s="8" t="s">
        <v>459</v>
      </c>
      <c r="F224" s="13"/>
      <c r="G224" s="8" t="s">
        <v>56</v>
      </c>
      <c r="H224" s="7"/>
      <c r="I224" s="7"/>
      <c r="J224" s="35"/>
      <c r="K224" s="8"/>
      <c r="L224" s="7"/>
      <c r="M224" s="7"/>
      <c r="N224" s="8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8"/>
      <c r="AA224" s="8"/>
      <c r="AB224" s="7"/>
      <c r="AC224" s="8"/>
      <c r="AD224" s="8"/>
      <c r="AE224" s="7"/>
      <c r="AF224" s="8"/>
      <c r="AG224" s="8"/>
      <c r="AH224" s="7"/>
      <c r="AI224" s="8"/>
      <c r="AJ224" s="8"/>
      <c r="AK224" s="7"/>
      <c r="AL224" s="8"/>
      <c r="AM224" s="8"/>
      <c r="AN224" s="7"/>
      <c r="AO224" s="8"/>
      <c r="AP224" s="8"/>
      <c r="AQ224" s="7"/>
      <c r="AR224" s="8"/>
      <c r="AS224" s="8"/>
      <c r="AT224" s="7"/>
      <c r="AU224" s="8"/>
      <c r="AV224" s="8"/>
      <c r="AW224" s="7"/>
      <c r="AX224" s="8"/>
      <c r="AY224" s="8"/>
      <c r="AZ224" s="7"/>
      <c r="BA224" s="8"/>
      <c r="BB224" s="8"/>
      <c r="BC224" s="7"/>
    </row>
    <row r="225" spans="1:55">
      <c r="A225" s="37">
        <v>25</v>
      </c>
      <c r="B225" s="10" t="s">
        <v>483</v>
      </c>
      <c r="C225" s="7">
        <v>1</v>
      </c>
      <c r="D225" s="8" t="s">
        <v>55</v>
      </c>
      <c r="E225" s="9" t="s">
        <v>62</v>
      </c>
      <c r="F225" s="13"/>
      <c r="G225" s="8" t="s">
        <v>61</v>
      </c>
      <c r="H225" s="7"/>
      <c r="I225" s="7"/>
      <c r="J225" s="7" t="s">
        <v>0</v>
      </c>
      <c r="K225" s="8"/>
      <c r="L225" s="7">
        <v>1</v>
      </c>
      <c r="M225" s="7"/>
      <c r="N225" s="8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8"/>
      <c r="AA225" s="8"/>
      <c r="AB225" s="7"/>
      <c r="AC225" s="8"/>
      <c r="AD225" s="8"/>
      <c r="AE225" s="7"/>
      <c r="AF225" s="8"/>
      <c r="AG225" s="8"/>
      <c r="AH225" s="7"/>
      <c r="AI225" s="8"/>
      <c r="AJ225" s="8"/>
      <c r="AK225" s="7"/>
      <c r="AL225" s="8"/>
      <c r="AM225" s="8"/>
      <c r="AN225" s="7"/>
      <c r="AO225" s="8"/>
      <c r="AP225" s="8"/>
      <c r="AQ225" s="7"/>
      <c r="AR225" s="8"/>
      <c r="AS225" s="8"/>
      <c r="AT225" s="7"/>
      <c r="AU225" s="8"/>
      <c r="AV225" s="8"/>
      <c r="AW225" s="7"/>
      <c r="AX225" s="8"/>
      <c r="AY225" s="8"/>
      <c r="AZ225" s="7"/>
      <c r="BA225" s="8"/>
      <c r="BB225" s="8"/>
      <c r="BC225" s="7"/>
    </row>
    <row r="226" spans="1:55">
      <c r="A226" s="14"/>
      <c r="B226" s="10" t="s">
        <v>482</v>
      </c>
      <c r="C226" s="7">
        <f t="shared" ref="C226:C245" si="20">C225+1</f>
        <v>2</v>
      </c>
      <c r="D226" s="8" t="s">
        <v>499</v>
      </c>
      <c r="E226" s="8" t="s">
        <v>501</v>
      </c>
      <c r="F226" s="13"/>
      <c r="G226" s="8" t="s">
        <v>47</v>
      </c>
      <c r="H226" s="7">
        <v>3</v>
      </c>
      <c r="I226" s="7"/>
      <c r="J226" s="7" t="s">
        <v>0</v>
      </c>
      <c r="K226" s="8"/>
      <c r="L226" s="7"/>
      <c r="M226" s="7">
        <v>1</v>
      </c>
      <c r="N226" s="8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8"/>
      <c r="AA226" s="8"/>
      <c r="AB226" s="7"/>
      <c r="AC226" s="8"/>
      <c r="AD226" s="8"/>
      <c r="AE226" s="7"/>
      <c r="AF226" s="8"/>
      <c r="AG226" s="8"/>
      <c r="AH226" s="7"/>
      <c r="AI226" s="8"/>
      <c r="AJ226" s="8"/>
      <c r="AK226" s="7"/>
      <c r="AL226" s="8"/>
      <c r="AM226" s="8"/>
      <c r="AN226" s="7"/>
      <c r="AO226" s="8"/>
      <c r="AP226" s="8"/>
      <c r="AQ226" s="7"/>
      <c r="AR226" s="8"/>
      <c r="AS226" s="8"/>
      <c r="AT226" s="7"/>
      <c r="AU226" s="8"/>
      <c r="AV226" s="8"/>
      <c r="AW226" s="7"/>
      <c r="AX226" s="8"/>
      <c r="AY226" s="8"/>
      <c r="AZ226" s="7"/>
      <c r="BA226" s="8"/>
      <c r="BB226" s="8"/>
      <c r="BC226" s="7"/>
    </row>
    <row r="227" spans="1:55">
      <c r="A227" s="14"/>
      <c r="B227" s="10" t="s">
        <v>461</v>
      </c>
      <c r="C227" s="7">
        <f t="shared" si="20"/>
        <v>3</v>
      </c>
      <c r="D227" s="8" t="s">
        <v>500</v>
      </c>
      <c r="E227" s="9" t="s">
        <v>502</v>
      </c>
      <c r="F227" s="13"/>
      <c r="G227" s="8" t="s">
        <v>48</v>
      </c>
      <c r="H227" s="7">
        <v>50</v>
      </c>
      <c r="I227" s="7"/>
      <c r="J227" s="35"/>
      <c r="K227" s="8"/>
      <c r="L227" s="7"/>
      <c r="M227" s="7"/>
      <c r="N227" s="8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8"/>
      <c r="AA227" s="8"/>
      <c r="AB227" s="7"/>
      <c r="AC227" s="8"/>
      <c r="AD227" s="8"/>
      <c r="AE227" s="7"/>
      <c r="AF227" s="8"/>
      <c r="AG227" s="8"/>
      <c r="AH227" s="7"/>
      <c r="AI227" s="8"/>
      <c r="AJ227" s="8"/>
      <c r="AK227" s="7"/>
      <c r="AL227" s="8"/>
      <c r="AM227" s="8"/>
      <c r="AN227" s="7"/>
      <c r="AO227" s="8"/>
      <c r="AP227" s="8"/>
      <c r="AQ227" s="7"/>
      <c r="AR227" s="8"/>
      <c r="AS227" s="8"/>
      <c r="AT227" s="7"/>
      <c r="AU227" s="8"/>
      <c r="AV227" s="8"/>
      <c r="AW227" s="7"/>
      <c r="AX227" s="8"/>
      <c r="AY227" s="8"/>
      <c r="AZ227" s="7"/>
      <c r="BA227" s="8"/>
      <c r="BB227" s="8"/>
      <c r="BC227" s="7"/>
    </row>
    <row r="228" spans="1:55">
      <c r="A228" s="37">
        <v>26</v>
      </c>
      <c r="B228" s="10" t="s">
        <v>460</v>
      </c>
      <c r="C228" s="7">
        <v>1</v>
      </c>
      <c r="D228" s="8" t="s">
        <v>55</v>
      </c>
      <c r="E228" s="9" t="s">
        <v>62</v>
      </c>
      <c r="F228" s="13"/>
      <c r="G228" s="8" t="s">
        <v>61</v>
      </c>
      <c r="H228" s="7"/>
      <c r="I228" s="7"/>
      <c r="J228" s="7" t="s">
        <v>0</v>
      </c>
      <c r="K228" s="8"/>
      <c r="L228" s="7">
        <v>1</v>
      </c>
      <c r="M228" s="7"/>
      <c r="N228" s="8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8"/>
      <c r="AA228" s="8"/>
      <c r="AB228" s="7"/>
      <c r="AC228" s="8"/>
      <c r="AD228" s="8"/>
      <c r="AE228" s="7"/>
      <c r="AF228" s="8"/>
      <c r="AG228" s="8"/>
      <c r="AH228" s="7"/>
      <c r="AI228" s="8"/>
      <c r="AJ228" s="8"/>
      <c r="AK228" s="7"/>
      <c r="AL228" s="8"/>
      <c r="AM228" s="8"/>
      <c r="AN228" s="7"/>
      <c r="AO228" s="8"/>
      <c r="AP228" s="8"/>
      <c r="AQ228" s="7"/>
      <c r="AR228" s="8"/>
      <c r="AS228" s="8"/>
      <c r="AT228" s="7"/>
      <c r="AU228" s="8"/>
      <c r="AV228" s="8"/>
      <c r="AW228" s="7"/>
      <c r="AX228" s="8"/>
      <c r="AY228" s="8"/>
      <c r="AZ228" s="7"/>
      <c r="BA228" s="8"/>
      <c r="BB228" s="8"/>
      <c r="BC228" s="7"/>
    </row>
    <row r="229" spans="1:55">
      <c r="A229" s="14"/>
      <c r="B229" s="10" t="s">
        <v>462</v>
      </c>
      <c r="C229" s="7">
        <f t="shared" si="20"/>
        <v>2</v>
      </c>
      <c r="D229" s="8" t="s">
        <v>551</v>
      </c>
      <c r="E229" s="8" t="s">
        <v>552</v>
      </c>
      <c r="F229" s="13"/>
      <c r="G229" s="8" t="s">
        <v>63</v>
      </c>
      <c r="H229" s="7"/>
      <c r="I229" s="7"/>
      <c r="J229" s="7" t="s">
        <v>0</v>
      </c>
      <c r="K229" s="8"/>
      <c r="L229" s="7"/>
      <c r="M229" s="7">
        <v>1</v>
      </c>
      <c r="N229" s="8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8" t="s">
        <v>506</v>
      </c>
      <c r="AA229" s="8" t="s">
        <v>505</v>
      </c>
      <c r="AB229" s="7" t="s">
        <v>0</v>
      </c>
      <c r="AC229" s="8"/>
      <c r="AD229" s="8"/>
      <c r="AE229" s="7"/>
      <c r="AF229" s="8"/>
      <c r="AG229" s="8"/>
      <c r="AH229" s="7"/>
      <c r="AI229" s="8"/>
      <c r="AJ229" s="8"/>
      <c r="AK229" s="7"/>
      <c r="AL229" s="8"/>
      <c r="AM229" s="8"/>
      <c r="AN229" s="7"/>
      <c r="AO229" s="8"/>
      <c r="AP229" s="8"/>
      <c r="AQ229" s="7"/>
      <c r="AR229" s="8"/>
      <c r="AS229" s="8"/>
      <c r="AT229" s="7"/>
      <c r="AU229" s="8"/>
      <c r="AV229" s="8"/>
      <c r="AW229" s="7"/>
      <c r="AX229" s="8"/>
      <c r="AY229" s="8"/>
      <c r="AZ229" s="7"/>
      <c r="BA229" s="8"/>
      <c r="BB229" s="8"/>
      <c r="BC229" s="7"/>
    </row>
    <row r="230" spans="1:55">
      <c r="A230" s="14"/>
      <c r="B230" s="10" t="s">
        <v>461</v>
      </c>
      <c r="C230" s="7">
        <f t="shared" si="20"/>
        <v>3</v>
      </c>
      <c r="D230" s="8" t="s">
        <v>553</v>
      </c>
      <c r="E230" s="8" t="s">
        <v>554</v>
      </c>
      <c r="F230" s="13"/>
      <c r="G230" s="8" t="s">
        <v>48</v>
      </c>
      <c r="H230" s="7">
        <v>4</v>
      </c>
      <c r="I230" s="7"/>
      <c r="J230" s="7" t="s">
        <v>0</v>
      </c>
      <c r="K230" s="8"/>
      <c r="L230" s="7"/>
      <c r="M230" s="7">
        <v>2</v>
      </c>
      <c r="N230" s="8"/>
      <c r="O230" s="7" t="s">
        <v>0</v>
      </c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8"/>
      <c r="AA230" s="8"/>
      <c r="AB230" s="7"/>
      <c r="AC230" s="8"/>
      <c r="AD230" s="8"/>
      <c r="AE230" s="7"/>
      <c r="AF230" s="8"/>
      <c r="AG230" s="8"/>
      <c r="AH230" s="7"/>
      <c r="AI230" s="8"/>
      <c r="AJ230" s="8"/>
      <c r="AK230" s="7"/>
      <c r="AL230" s="8"/>
      <c r="AM230" s="8"/>
      <c r="AN230" s="7"/>
      <c r="AO230" s="8"/>
      <c r="AP230" s="8"/>
      <c r="AQ230" s="7"/>
      <c r="AR230" s="8"/>
      <c r="AS230" s="8"/>
      <c r="AT230" s="7"/>
      <c r="AU230" s="8"/>
      <c r="AV230" s="8"/>
      <c r="AW230" s="7"/>
      <c r="AX230" s="8"/>
      <c r="AY230" s="8"/>
      <c r="AZ230" s="7"/>
      <c r="BA230" s="8"/>
      <c r="BB230" s="8"/>
      <c r="BC230" s="7"/>
    </row>
    <row r="231" spans="1:55">
      <c r="A231" s="14"/>
      <c r="B231" s="10"/>
      <c r="C231" s="7">
        <f t="shared" si="20"/>
        <v>4</v>
      </c>
      <c r="D231" s="9" t="s">
        <v>484</v>
      </c>
      <c r="E231" s="8" t="s">
        <v>432</v>
      </c>
      <c r="F231" s="13"/>
      <c r="G231" s="8" t="s">
        <v>63</v>
      </c>
      <c r="H231" s="7"/>
      <c r="I231" s="7"/>
      <c r="J231" s="7" t="s">
        <v>0</v>
      </c>
      <c r="K231" s="8"/>
      <c r="L231" s="7"/>
      <c r="M231" s="7">
        <v>3</v>
      </c>
      <c r="N231" s="8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8"/>
      <c r="AA231" s="8"/>
      <c r="AB231" s="7"/>
      <c r="AC231" s="8" t="s">
        <v>433</v>
      </c>
      <c r="AD231" s="8" t="s">
        <v>173</v>
      </c>
      <c r="AE231" s="7"/>
      <c r="AF231" s="8"/>
      <c r="AG231" s="8"/>
      <c r="AH231" s="7"/>
      <c r="AI231" s="8"/>
      <c r="AJ231" s="8"/>
      <c r="AK231" s="7"/>
      <c r="AL231" s="8"/>
      <c r="AM231" s="8"/>
      <c r="AN231" s="7"/>
      <c r="AO231" s="8"/>
      <c r="AP231" s="8"/>
      <c r="AQ231" s="7"/>
      <c r="AR231" s="8"/>
      <c r="AS231" s="8"/>
      <c r="AT231" s="7"/>
      <c r="AU231" s="8"/>
      <c r="AV231" s="8"/>
      <c r="AW231" s="7"/>
      <c r="AX231" s="8"/>
      <c r="AY231" s="8"/>
      <c r="AZ231" s="7"/>
      <c r="BA231" s="8"/>
      <c r="BB231" s="8"/>
      <c r="BC231" s="7"/>
    </row>
    <row r="232" spans="1:55">
      <c r="A232" s="14"/>
      <c r="B232" s="10"/>
      <c r="C232" s="7">
        <f t="shared" si="20"/>
        <v>5</v>
      </c>
      <c r="D232" s="9" t="s">
        <v>485</v>
      </c>
      <c r="E232" s="8" t="s">
        <v>400</v>
      </c>
      <c r="F232" s="13"/>
      <c r="G232" s="8" t="s">
        <v>63</v>
      </c>
      <c r="H232" s="7"/>
      <c r="I232" s="7"/>
      <c r="J232" s="7" t="s">
        <v>0</v>
      </c>
      <c r="K232" s="8"/>
      <c r="L232" s="7"/>
      <c r="M232" s="7">
        <v>4</v>
      </c>
      <c r="N232" s="8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8"/>
      <c r="AA232" s="8"/>
      <c r="AB232" s="7"/>
      <c r="AC232" s="8"/>
      <c r="AD232" s="8"/>
      <c r="AE232" s="7"/>
      <c r="AF232" s="8" t="s">
        <v>419</v>
      </c>
      <c r="AG232" s="8" t="s">
        <v>173</v>
      </c>
      <c r="AH232" s="7"/>
      <c r="AI232" s="8"/>
      <c r="AJ232" s="8"/>
      <c r="AK232" s="7"/>
      <c r="AL232" s="8"/>
      <c r="AM232" s="8"/>
      <c r="AN232" s="7"/>
      <c r="AO232" s="8"/>
      <c r="AP232" s="8"/>
      <c r="AQ232" s="7"/>
      <c r="AR232" s="8"/>
      <c r="AS232" s="8"/>
      <c r="AT232" s="7"/>
      <c r="AU232" s="8"/>
      <c r="AV232" s="8"/>
      <c r="AW232" s="7"/>
      <c r="AX232" s="8"/>
      <c r="AY232" s="8"/>
      <c r="AZ232" s="7"/>
      <c r="BA232" s="8"/>
      <c r="BB232" s="8"/>
      <c r="BC232" s="7"/>
    </row>
    <row r="233" spans="1:55">
      <c r="A233" s="14"/>
      <c r="B233" s="10"/>
      <c r="C233" s="7">
        <f t="shared" si="20"/>
        <v>6</v>
      </c>
      <c r="D233" s="9" t="s">
        <v>486</v>
      </c>
      <c r="E233" s="9" t="s">
        <v>470</v>
      </c>
      <c r="F233" s="13"/>
      <c r="G233" s="8" t="s">
        <v>50</v>
      </c>
      <c r="H233" s="7"/>
      <c r="I233" s="7"/>
      <c r="J233" s="35"/>
      <c r="K233" s="8"/>
      <c r="L233" s="7"/>
      <c r="M233" s="7"/>
      <c r="N233" s="8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8"/>
      <c r="AA233" s="8"/>
      <c r="AB233" s="7"/>
      <c r="AC233" s="8"/>
      <c r="AD233" s="8"/>
      <c r="AE233" s="7"/>
      <c r="AF233" s="8"/>
      <c r="AG233" s="8"/>
      <c r="AH233" s="7"/>
      <c r="AI233" s="8"/>
      <c r="AJ233" s="8"/>
      <c r="AK233" s="7"/>
      <c r="AL233" s="8"/>
      <c r="AM233" s="8"/>
      <c r="AN233" s="7"/>
      <c r="AO233" s="8"/>
      <c r="AP233" s="8"/>
      <c r="AQ233" s="7"/>
      <c r="AR233" s="8"/>
      <c r="AS233" s="8"/>
      <c r="AT233" s="7"/>
      <c r="AU233" s="8"/>
      <c r="AV233" s="8"/>
      <c r="AW233" s="7"/>
      <c r="AX233" s="8"/>
      <c r="AY233" s="8"/>
      <c r="AZ233" s="7"/>
      <c r="BA233" s="8"/>
      <c r="BB233" s="8"/>
      <c r="BC233" s="7"/>
    </row>
    <row r="234" spans="1:55">
      <c r="A234" s="14"/>
      <c r="B234" s="10"/>
      <c r="C234" s="7">
        <f t="shared" si="20"/>
        <v>7</v>
      </c>
      <c r="D234" s="9" t="s">
        <v>487</v>
      </c>
      <c r="E234" s="9" t="s">
        <v>464</v>
      </c>
      <c r="F234" s="13"/>
      <c r="G234" s="8" t="s">
        <v>56</v>
      </c>
      <c r="H234" s="7">
        <v>4</v>
      </c>
      <c r="I234" s="7">
        <v>1</v>
      </c>
      <c r="J234" s="35"/>
      <c r="K234" s="8"/>
      <c r="L234" s="7"/>
      <c r="M234" s="7"/>
      <c r="N234" s="8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8"/>
      <c r="AA234" s="8"/>
      <c r="AB234" s="7"/>
      <c r="AC234" s="8"/>
      <c r="AD234" s="8"/>
      <c r="AE234" s="7"/>
      <c r="AF234" s="8"/>
      <c r="AG234" s="8"/>
      <c r="AH234" s="7"/>
      <c r="AI234" s="8"/>
      <c r="AJ234" s="8"/>
      <c r="AK234" s="7"/>
      <c r="AL234" s="8"/>
      <c r="AM234" s="8"/>
      <c r="AN234" s="7"/>
      <c r="AO234" s="8"/>
      <c r="AP234" s="8"/>
      <c r="AQ234" s="7"/>
      <c r="AR234" s="8"/>
      <c r="AS234" s="8"/>
      <c r="AT234" s="7"/>
      <c r="AU234" s="8"/>
      <c r="AV234" s="8"/>
      <c r="AW234" s="7"/>
      <c r="AX234" s="8"/>
      <c r="AY234" s="8"/>
      <c r="AZ234" s="7"/>
      <c r="BA234" s="8"/>
      <c r="BB234" s="8"/>
      <c r="BC234" s="7"/>
    </row>
    <row r="235" spans="1:55">
      <c r="A235" s="14"/>
      <c r="B235" s="10"/>
      <c r="C235" s="7">
        <f t="shared" si="20"/>
        <v>8</v>
      </c>
      <c r="D235" s="9" t="s">
        <v>488</v>
      </c>
      <c r="E235" s="9" t="s">
        <v>467</v>
      </c>
      <c r="F235" s="13"/>
      <c r="G235" s="8" t="s">
        <v>56</v>
      </c>
      <c r="H235" s="7">
        <v>4</v>
      </c>
      <c r="I235" s="7">
        <v>1</v>
      </c>
      <c r="J235" s="35"/>
      <c r="K235" s="8"/>
      <c r="L235" s="7"/>
      <c r="M235" s="7"/>
      <c r="N235" s="8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8"/>
      <c r="AA235" s="8"/>
      <c r="AB235" s="7"/>
      <c r="AC235" s="8"/>
      <c r="AD235" s="8"/>
      <c r="AE235" s="7"/>
      <c r="AF235" s="8"/>
      <c r="AG235" s="8"/>
      <c r="AH235" s="7"/>
      <c r="AI235" s="8"/>
      <c r="AJ235" s="8"/>
      <c r="AK235" s="7"/>
      <c r="AL235" s="8"/>
      <c r="AM235" s="8"/>
      <c r="AN235" s="7"/>
      <c r="AO235" s="8"/>
      <c r="AP235" s="8"/>
      <c r="AQ235" s="7"/>
      <c r="AR235" s="8"/>
      <c r="AS235" s="8"/>
      <c r="AT235" s="7"/>
      <c r="AU235" s="8"/>
      <c r="AV235" s="8"/>
      <c r="AW235" s="7"/>
      <c r="AX235" s="8"/>
      <c r="AY235" s="8"/>
      <c r="AZ235" s="7"/>
      <c r="BA235" s="8"/>
      <c r="BB235" s="8"/>
      <c r="BC235" s="7"/>
    </row>
    <row r="236" spans="1:55">
      <c r="A236" s="14"/>
      <c r="B236" s="10"/>
      <c r="C236" s="7">
        <f t="shared" si="20"/>
        <v>9</v>
      </c>
      <c r="D236" s="9" t="s">
        <v>489</v>
      </c>
      <c r="E236" s="9" t="s">
        <v>468</v>
      </c>
      <c r="F236" s="13"/>
      <c r="G236" s="8" t="s">
        <v>56</v>
      </c>
      <c r="H236" s="7">
        <v>4</v>
      </c>
      <c r="I236" s="7">
        <v>1</v>
      </c>
      <c r="J236" s="35"/>
      <c r="K236" s="8"/>
      <c r="L236" s="7"/>
      <c r="M236" s="7"/>
      <c r="N236" s="8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8"/>
      <c r="AA236" s="8"/>
      <c r="AB236" s="7"/>
      <c r="AC236" s="8"/>
      <c r="AD236" s="8"/>
      <c r="AE236" s="7"/>
      <c r="AF236" s="8"/>
      <c r="AG236" s="8"/>
      <c r="AH236" s="7"/>
      <c r="AI236" s="8"/>
      <c r="AJ236" s="8"/>
      <c r="AK236" s="7"/>
      <c r="AL236" s="8"/>
      <c r="AM236" s="8"/>
      <c r="AN236" s="7"/>
      <c r="AO236" s="8"/>
      <c r="AP236" s="8"/>
      <c r="AQ236" s="7"/>
      <c r="AR236" s="8"/>
      <c r="AS236" s="8"/>
      <c r="AT236" s="7"/>
      <c r="AU236" s="8"/>
      <c r="AV236" s="8"/>
      <c r="AW236" s="7"/>
      <c r="AX236" s="8"/>
      <c r="AY236" s="8"/>
      <c r="AZ236" s="7"/>
      <c r="BA236" s="8"/>
      <c r="BB236" s="8"/>
      <c r="BC236" s="7"/>
    </row>
    <row r="237" spans="1:55">
      <c r="A237" s="14"/>
      <c r="B237" s="10"/>
      <c r="C237" s="7">
        <f t="shared" si="20"/>
        <v>10</v>
      </c>
      <c r="D237" s="9" t="s">
        <v>490</v>
      </c>
      <c r="E237" s="9" t="s">
        <v>469</v>
      </c>
      <c r="F237" s="13"/>
      <c r="G237" s="8" t="s">
        <v>56</v>
      </c>
      <c r="H237" s="7">
        <v>4</v>
      </c>
      <c r="I237" s="7">
        <v>1</v>
      </c>
      <c r="J237" s="35"/>
      <c r="K237" s="8"/>
      <c r="L237" s="7"/>
      <c r="M237" s="7"/>
      <c r="N237" s="8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8"/>
      <c r="AA237" s="8"/>
      <c r="AB237" s="7"/>
      <c r="AC237" s="8"/>
      <c r="AD237" s="8"/>
      <c r="AE237" s="7"/>
      <c r="AF237" s="8"/>
      <c r="AG237" s="8"/>
      <c r="AH237" s="7"/>
      <c r="AI237" s="8"/>
      <c r="AJ237" s="8"/>
      <c r="AK237" s="7"/>
      <c r="AL237" s="8"/>
      <c r="AM237" s="8"/>
      <c r="AN237" s="7"/>
      <c r="AO237" s="8"/>
      <c r="AP237" s="8"/>
      <c r="AQ237" s="7"/>
      <c r="AR237" s="8"/>
      <c r="AS237" s="8"/>
      <c r="AT237" s="7"/>
      <c r="AU237" s="8"/>
      <c r="AV237" s="8"/>
      <c r="AW237" s="7"/>
      <c r="AX237" s="8"/>
      <c r="AY237" s="8"/>
      <c r="AZ237" s="7"/>
      <c r="BA237" s="8"/>
      <c r="BB237" s="8"/>
      <c r="BC237" s="7"/>
    </row>
    <row r="238" spans="1:55">
      <c r="A238" s="14"/>
      <c r="B238" s="10"/>
      <c r="C238" s="7">
        <f t="shared" si="20"/>
        <v>11</v>
      </c>
      <c r="D238" s="9" t="s">
        <v>491</v>
      </c>
      <c r="E238" s="9" t="s">
        <v>471</v>
      </c>
      <c r="F238" s="13"/>
      <c r="G238" s="8" t="s">
        <v>50</v>
      </c>
      <c r="H238" s="7"/>
      <c r="I238" s="7"/>
      <c r="J238" s="35"/>
      <c r="K238" s="8"/>
      <c r="L238" s="7"/>
      <c r="M238" s="7"/>
      <c r="N238" s="8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8"/>
      <c r="AA238" s="8"/>
      <c r="AB238" s="7"/>
      <c r="AC238" s="8"/>
      <c r="AD238" s="8"/>
      <c r="AE238" s="7"/>
      <c r="AF238" s="8"/>
      <c r="AG238" s="8"/>
      <c r="AH238" s="7"/>
      <c r="AI238" s="8"/>
      <c r="AJ238" s="8"/>
      <c r="AK238" s="7"/>
      <c r="AL238" s="8"/>
      <c r="AM238" s="8"/>
      <c r="AN238" s="7"/>
      <c r="AO238" s="8"/>
      <c r="AP238" s="8"/>
      <c r="AQ238" s="7"/>
      <c r="AR238" s="8"/>
      <c r="AS238" s="8"/>
      <c r="AT238" s="7"/>
      <c r="AU238" s="8"/>
      <c r="AV238" s="8"/>
      <c r="AW238" s="7"/>
      <c r="AX238" s="8"/>
      <c r="AY238" s="8"/>
      <c r="AZ238" s="7"/>
      <c r="BA238" s="8"/>
      <c r="BB238" s="8"/>
      <c r="BC238" s="7"/>
    </row>
    <row r="239" spans="1:55">
      <c r="A239" s="14"/>
      <c r="B239" s="10"/>
      <c r="C239" s="7">
        <f t="shared" si="20"/>
        <v>12</v>
      </c>
      <c r="D239" s="9" t="s">
        <v>492</v>
      </c>
      <c r="E239" s="9" t="s">
        <v>465</v>
      </c>
      <c r="F239" s="13"/>
      <c r="G239" s="8" t="s">
        <v>56</v>
      </c>
      <c r="H239" s="7">
        <v>4</v>
      </c>
      <c r="I239" s="7">
        <v>1</v>
      </c>
      <c r="J239" s="35"/>
      <c r="K239" s="8"/>
      <c r="L239" s="7"/>
      <c r="M239" s="7"/>
      <c r="N239" s="8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8"/>
      <c r="AA239" s="8"/>
      <c r="AB239" s="7"/>
      <c r="AC239" s="8"/>
      <c r="AD239" s="8"/>
      <c r="AE239" s="7"/>
      <c r="AF239" s="8"/>
      <c r="AG239" s="8"/>
      <c r="AH239" s="7"/>
      <c r="AI239" s="8"/>
      <c r="AJ239" s="8"/>
      <c r="AK239" s="7"/>
      <c r="AL239" s="8"/>
      <c r="AM239" s="8"/>
      <c r="AN239" s="7"/>
      <c r="AO239" s="8"/>
      <c r="AP239" s="8"/>
      <c r="AQ239" s="7"/>
      <c r="AR239" s="8"/>
      <c r="AS239" s="8"/>
      <c r="AT239" s="7"/>
      <c r="AU239" s="8"/>
      <c r="AV239" s="8"/>
      <c r="AW239" s="7"/>
      <c r="AX239" s="8"/>
      <c r="AY239" s="8"/>
      <c r="AZ239" s="7"/>
      <c r="BA239" s="8"/>
      <c r="BB239" s="8"/>
      <c r="BC239" s="7"/>
    </row>
    <row r="240" spans="1:55">
      <c r="A240" s="14"/>
      <c r="B240" s="10"/>
      <c r="C240" s="7">
        <f t="shared" si="20"/>
        <v>13</v>
      </c>
      <c r="D240" s="9" t="s">
        <v>493</v>
      </c>
      <c r="E240" s="9" t="s">
        <v>472</v>
      </c>
      <c r="F240" s="13"/>
      <c r="G240" s="8" t="s">
        <v>56</v>
      </c>
      <c r="H240" s="7">
        <v>4</v>
      </c>
      <c r="I240" s="7">
        <v>1</v>
      </c>
      <c r="J240" s="7"/>
      <c r="K240" s="8"/>
      <c r="L240" s="7"/>
      <c r="M240" s="7"/>
      <c r="N240" s="8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8"/>
      <c r="AA240" s="8"/>
      <c r="AB240" s="7"/>
      <c r="AC240" s="8"/>
      <c r="AD240" s="8"/>
      <c r="AE240" s="7"/>
      <c r="AF240" s="8"/>
      <c r="AG240" s="8"/>
      <c r="AH240" s="7"/>
      <c r="AI240" s="8"/>
      <c r="AJ240" s="8"/>
      <c r="AK240" s="7"/>
      <c r="AL240" s="8"/>
      <c r="AM240" s="8"/>
      <c r="AN240" s="7"/>
      <c r="AO240" s="8"/>
      <c r="AP240" s="8"/>
      <c r="AQ240" s="7"/>
      <c r="AR240" s="8"/>
      <c r="AS240" s="8"/>
      <c r="AT240" s="7"/>
      <c r="AU240" s="8"/>
      <c r="AV240" s="8"/>
      <c r="AW240" s="7"/>
      <c r="AX240" s="8"/>
      <c r="AY240" s="8"/>
      <c r="AZ240" s="7"/>
      <c r="BA240" s="8"/>
      <c r="BB240" s="8"/>
      <c r="BC240" s="7"/>
    </row>
    <row r="241" spans="1:55">
      <c r="A241" s="14"/>
      <c r="B241" s="10"/>
      <c r="C241" s="7">
        <f t="shared" si="20"/>
        <v>14</v>
      </c>
      <c r="D241" s="9" t="s">
        <v>494</v>
      </c>
      <c r="E241" s="9" t="s">
        <v>473</v>
      </c>
      <c r="F241" s="13"/>
      <c r="G241" s="8" t="s">
        <v>56</v>
      </c>
      <c r="H241" s="7">
        <v>4</v>
      </c>
      <c r="I241" s="7">
        <v>1</v>
      </c>
      <c r="J241" s="7"/>
      <c r="K241" s="8"/>
      <c r="L241" s="7"/>
      <c r="M241" s="7"/>
      <c r="N241" s="8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8"/>
      <c r="AA241" s="8"/>
      <c r="AB241" s="7"/>
      <c r="AC241" s="8"/>
      <c r="AD241" s="8"/>
      <c r="AE241" s="7"/>
      <c r="AF241" s="8"/>
      <c r="AG241" s="8"/>
      <c r="AH241" s="7"/>
      <c r="AI241" s="8"/>
      <c r="AJ241" s="8"/>
      <c r="AK241" s="7"/>
      <c r="AL241" s="8"/>
      <c r="AM241" s="8"/>
      <c r="AN241" s="7"/>
      <c r="AO241" s="8"/>
      <c r="AP241" s="8"/>
      <c r="AQ241" s="7"/>
      <c r="AR241" s="8"/>
      <c r="AS241" s="8"/>
      <c r="AT241" s="7"/>
      <c r="AU241" s="8"/>
      <c r="AV241" s="8"/>
      <c r="AW241" s="7"/>
      <c r="AX241" s="8"/>
      <c r="AY241" s="8"/>
      <c r="AZ241" s="7"/>
      <c r="BA241" s="8"/>
      <c r="BB241" s="8"/>
      <c r="BC241" s="7"/>
    </row>
    <row r="242" spans="1:55">
      <c r="A242" s="14"/>
      <c r="B242" s="10"/>
      <c r="C242" s="7">
        <f t="shared" si="20"/>
        <v>15</v>
      </c>
      <c r="D242" s="9" t="s">
        <v>495</v>
      </c>
      <c r="E242" s="9" t="s">
        <v>474</v>
      </c>
      <c r="F242" s="13"/>
      <c r="G242" s="8" t="s">
        <v>56</v>
      </c>
      <c r="H242" s="7">
        <v>4</v>
      </c>
      <c r="I242" s="7">
        <v>1</v>
      </c>
      <c r="J242" s="7"/>
      <c r="K242" s="8"/>
      <c r="L242" s="7"/>
      <c r="M242" s="7"/>
      <c r="N242" s="8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8"/>
      <c r="AA242" s="8"/>
      <c r="AB242" s="7"/>
      <c r="AC242" s="8"/>
      <c r="AD242" s="8"/>
      <c r="AE242" s="7"/>
      <c r="AF242" s="8"/>
      <c r="AG242" s="8"/>
      <c r="AH242" s="7"/>
      <c r="AI242" s="8"/>
      <c r="AJ242" s="8"/>
      <c r="AK242" s="7"/>
      <c r="AL242" s="8"/>
      <c r="AM242" s="8"/>
      <c r="AN242" s="7"/>
      <c r="AO242" s="8"/>
      <c r="AP242" s="8"/>
      <c r="AQ242" s="7"/>
      <c r="AR242" s="8"/>
      <c r="AS242" s="8"/>
      <c r="AT242" s="7"/>
      <c r="AU242" s="8"/>
      <c r="AV242" s="8"/>
      <c r="AW242" s="7"/>
      <c r="AX242" s="8"/>
      <c r="AY242" s="8"/>
      <c r="AZ242" s="7"/>
      <c r="BA242" s="8"/>
      <c r="BB242" s="8"/>
      <c r="BC242" s="7"/>
    </row>
    <row r="243" spans="1:55">
      <c r="A243" s="14"/>
      <c r="B243" s="10"/>
      <c r="C243" s="7">
        <f t="shared" si="20"/>
        <v>16</v>
      </c>
      <c r="D243" s="9" t="s">
        <v>496</v>
      </c>
      <c r="E243" s="8" t="s">
        <v>475</v>
      </c>
      <c r="F243" s="13"/>
      <c r="G243" s="8" t="s">
        <v>56</v>
      </c>
      <c r="H243" s="7"/>
      <c r="I243" s="7"/>
      <c r="J243" s="7"/>
      <c r="K243" s="8"/>
      <c r="L243" s="7"/>
      <c r="M243" s="7"/>
      <c r="N243" s="8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8"/>
      <c r="AA243" s="8"/>
      <c r="AB243" s="7"/>
      <c r="AC243" s="8"/>
      <c r="AD243" s="8"/>
      <c r="AE243" s="7"/>
      <c r="AF243" s="8"/>
      <c r="AG243" s="8"/>
      <c r="AH243" s="7"/>
      <c r="AI243" s="8"/>
      <c r="AJ243" s="8"/>
      <c r="AK243" s="7"/>
      <c r="AL243" s="8"/>
      <c r="AM243" s="8"/>
      <c r="AN243" s="7"/>
      <c r="AO243" s="8"/>
      <c r="AP243" s="8"/>
      <c r="AQ243" s="7"/>
      <c r="AR243" s="8"/>
      <c r="AS243" s="8"/>
      <c r="AT243" s="7"/>
      <c r="AU243" s="8"/>
      <c r="AV243" s="8"/>
      <c r="AW243" s="7"/>
      <c r="AX243" s="8"/>
      <c r="AY243" s="8"/>
      <c r="AZ243" s="7"/>
      <c r="BA243" s="8"/>
      <c r="BB243" s="8"/>
      <c r="BC243" s="7"/>
    </row>
    <row r="244" spans="1:55">
      <c r="A244" s="14"/>
      <c r="B244" s="10"/>
      <c r="C244" s="7">
        <f t="shared" si="20"/>
        <v>17</v>
      </c>
      <c r="D244" s="9" t="s">
        <v>497</v>
      </c>
      <c r="E244" s="8" t="s">
        <v>476</v>
      </c>
      <c r="F244" s="13"/>
      <c r="G244" s="8" t="s">
        <v>56</v>
      </c>
      <c r="H244" s="7"/>
      <c r="I244" s="7"/>
      <c r="J244" s="7"/>
      <c r="K244" s="8"/>
      <c r="L244" s="7"/>
      <c r="M244" s="7"/>
      <c r="N244" s="8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8"/>
      <c r="AA244" s="8"/>
      <c r="AB244" s="7"/>
      <c r="AC244" s="8"/>
      <c r="AD244" s="8"/>
      <c r="AE244" s="7"/>
      <c r="AF244" s="8"/>
      <c r="AG244" s="8"/>
      <c r="AH244" s="7"/>
      <c r="AI244" s="8"/>
      <c r="AJ244" s="8"/>
      <c r="AK244" s="7"/>
      <c r="AL244" s="8"/>
      <c r="AM244" s="8"/>
      <c r="AN244" s="7"/>
      <c r="AO244" s="8"/>
      <c r="AP244" s="8"/>
      <c r="AQ244" s="7"/>
      <c r="AR244" s="8"/>
      <c r="AS244" s="8"/>
      <c r="AT244" s="7"/>
      <c r="AU244" s="8"/>
      <c r="AV244" s="8"/>
      <c r="AW244" s="7"/>
      <c r="AX244" s="8"/>
      <c r="AY244" s="8"/>
      <c r="AZ244" s="7"/>
      <c r="BA244" s="8"/>
      <c r="BB244" s="8"/>
      <c r="BC244" s="7"/>
    </row>
    <row r="245" spans="1:55">
      <c r="A245" s="14"/>
      <c r="B245" s="10"/>
      <c r="C245" s="7">
        <f t="shared" si="20"/>
        <v>18</v>
      </c>
      <c r="D245" s="9" t="s">
        <v>498</v>
      </c>
      <c r="E245" s="8" t="s">
        <v>477</v>
      </c>
      <c r="F245" s="13"/>
      <c r="G245" s="8" t="s">
        <v>56</v>
      </c>
      <c r="H245" s="7"/>
      <c r="I245" s="7"/>
      <c r="J245" s="7"/>
      <c r="K245" s="8"/>
      <c r="L245" s="7"/>
      <c r="M245" s="7"/>
      <c r="N245" s="8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8"/>
      <c r="AA245" s="8"/>
      <c r="AB245" s="7"/>
      <c r="AC245" s="8"/>
      <c r="AD245" s="8"/>
      <c r="AE245" s="7"/>
      <c r="AF245" s="8"/>
      <c r="AG245" s="8"/>
      <c r="AH245" s="7"/>
      <c r="AI245" s="8"/>
      <c r="AJ245" s="8"/>
      <c r="AK245" s="7"/>
      <c r="AL245" s="8"/>
      <c r="AM245" s="8"/>
      <c r="AN245" s="7"/>
      <c r="AO245" s="8"/>
      <c r="AP245" s="8"/>
      <c r="AQ245" s="7"/>
      <c r="AR245" s="8"/>
      <c r="AS245" s="8"/>
      <c r="AT245" s="7"/>
      <c r="AU245" s="8"/>
      <c r="AV245" s="8"/>
      <c r="AW245" s="7"/>
      <c r="AX245" s="8"/>
      <c r="AY245" s="8"/>
      <c r="AZ245" s="7"/>
      <c r="BA245" s="8"/>
      <c r="BB245" s="8"/>
      <c r="BC245" s="7"/>
    </row>
    <row r="246" spans="1:55" ht="10.5" customHeight="1">
      <c r="A246" s="14"/>
      <c r="B246" s="10"/>
      <c r="C246" s="7"/>
      <c r="D246" s="9"/>
      <c r="E246" s="9"/>
      <c r="F246" s="13"/>
      <c r="G246" s="8"/>
      <c r="H246" s="7"/>
      <c r="I246" s="7"/>
      <c r="J246" s="7"/>
      <c r="K246" s="8"/>
      <c r="L246" s="7"/>
      <c r="M246" s="7"/>
      <c r="N246" s="8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8"/>
      <c r="AA246" s="8"/>
      <c r="AB246" s="7"/>
      <c r="AC246" s="8"/>
      <c r="AD246" s="8"/>
      <c r="AE246" s="7"/>
      <c r="AF246" s="8"/>
      <c r="AG246" s="8"/>
      <c r="AH246" s="7"/>
      <c r="AI246" s="8"/>
      <c r="AJ246" s="8"/>
      <c r="AK246" s="7"/>
      <c r="AL246" s="8"/>
      <c r="AM246" s="8"/>
      <c r="AN246" s="7"/>
      <c r="AO246" s="8"/>
      <c r="AP246" s="8"/>
      <c r="AQ246" s="7"/>
      <c r="AR246" s="8"/>
      <c r="AS246" s="8"/>
      <c r="AT246" s="7"/>
      <c r="AU246" s="8"/>
      <c r="AV246" s="8"/>
      <c r="AW246" s="7"/>
      <c r="AX246" s="8"/>
      <c r="AY246" s="8"/>
      <c r="AZ246" s="7"/>
      <c r="BA246" s="8"/>
      <c r="BB246" s="8"/>
      <c r="BC246" s="7"/>
    </row>
    <row r="247" spans="1:55">
      <c r="A247" s="14"/>
      <c r="B247" s="10"/>
      <c r="C247" s="7"/>
      <c r="D247" s="9"/>
      <c r="E247" s="9"/>
      <c r="F247" s="13"/>
      <c r="G247" s="8"/>
      <c r="H247" s="7"/>
      <c r="I247" s="7"/>
      <c r="J247" s="7"/>
      <c r="K247" s="8"/>
      <c r="L247" s="7"/>
      <c r="M247" s="7"/>
      <c r="N247" s="8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8"/>
      <c r="AA247" s="8"/>
      <c r="AB247" s="7"/>
      <c r="AC247" s="8"/>
      <c r="AD247" s="8"/>
      <c r="AE247" s="7"/>
      <c r="AF247" s="8"/>
      <c r="AG247" s="8"/>
      <c r="AH247" s="7"/>
      <c r="AI247" s="8"/>
      <c r="AJ247" s="8"/>
      <c r="AK247" s="7"/>
      <c r="AL247" s="8"/>
      <c r="AM247" s="8"/>
      <c r="AN247" s="7"/>
      <c r="AO247" s="8"/>
      <c r="AP247" s="8"/>
      <c r="AQ247" s="7"/>
      <c r="AR247" s="8"/>
      <c r="AS247" s="8"/>
      <c r="AT247" s="7"/>
      <c r="AU247" s="8"/>
      <c r="AV247" s="8"/>
      <c r="AW247" s="7"/>
      <c r="AX247" s="8"/>
      <c r="AY247" s="8"/>
      <c r="AZ247" s="7"/>
      <c r="BA247" s="8"/>
      <c r="BB247" s="8"/>
      <c r="BC247" s="7"/>
    </row>
    <row r="248" spans="1:55">
      <c r="A248" s="14"/>
      <c r="B248" s="10"/>
      <c r="C248" s="7"/>
      <c r="D248" s="9"/>
      <c r="E248" s="9"/>
      <c r="F248" s="13"/>
      <c r="G248" s="8"/>
      <c r="H248" s="7"/>
      <c r="I248" s="7"/>
      <c r="J248" s="7"/>
      <c r="K248" s="8"/>
      <c r="L248" s="7"/>
      <c r="M248" s="7"/>
      <c r="N248" s="8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8"/>
      <c r="AA248" s="8"/>
      <c r="AB248" s="7"/>
      <c r="AC248" s="8"/>
      <c r="AD248" s="8"/>
      <c r="AE248" s="7"/>
      <c r="AF248" s="8"/>
      <c r="AG248" s="8"/>
      <c r="AH248" s="7"/>
      <c r="AI248" s="8"/>
      <c r="AJ248" s="8"/>
      <c r="AK248" s="7"/>
      <c r="AL248" s="8"/>
      <c r="AM248" s="8"/>
      <c r="AN248" s="7"/>
      <c r="AO248" s="8"/>
      <c r="AP248" s="8"/>
      <c r="AQ248" s="7"/>
      <c r="AR248" s="8"/>
      <c r="AS248" s="8"/>
      <c r="AT248" s="7"/>
      <c r="AU248" s="8"/>
      <c r="AV248" s="8"/>
      <c r="AW248" s="7"/>
      <c r="AX248" s="8"/>
      <c r="AY248" s="8"/>
      <c r="AZ248" s="7"/>
      <c r="BA248" s="8"/>
      <c r="BB248" s="8"/>
      <c r="BC248" s="7"/>
    </row>
    <row r="249" spans="1:55">
      <c r="A249" s="14"/>
      <c r="B249" s="10"/>
      <c r="C249" s="7"/>
      <c r="D249" s="9"/>
      <c r="E249" s="9"/>
      <c r="F249" s="13"/>
      <c r="G249" s="8"/>
      <c r="H249" s="7"/>
      <c r="I249" s="7"/>
      <c r="J249" s="7"/>
      <c r="K249" s="8"/>
      <c r="L249" s="7"/>
      <c r="M249" s="7"/>
      <c r="N249" s="8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8"/>
      <c r="AA249" s="8"/>
      <c r="AB249" s="7"/>
      <c r="AC249" s="8"/>
      <c r="AD249" s="8"/>
      <c r="AE249" s="7"/>
      <c r="AF249" s="8"/>
      <c r="AG249" s="8"/>
      <c r="AH249" s="7"/>
      <c r="AI249" s="8"/>
      <c r="AJ249" s="8"/>
      <c r="AK249" s="7"/>
      <c r="AL249" s="8"/>
      <c r="AM249" s="8"/>
      <c r="AN249" s="7"/>
      <c r="AO249" s="8"/>
      <c r="AP249" s="8"/>
      <c r="AQ249" s="7"/>
      <c r="AR249" s="8"/>
      <c r="AS249" s="8"/>
      <c r="AT249" s="7"/>
      <c r="AU249" s="8"/>
      <c r="AV249" s="8"/>
      <c r="AW249" s="7"/>
      <c r="AX249" s="8"/>
      <c r="AY249" s="8"/>
      <c r="AZ249" s="7"/>
      <c r="BA249" s="8"/>
      <c r="BB249" s="8"/>
      <c r="BC249" s="7"/>
    </row>
    <row r="250" spans="1:55">
      <c r="A250" s="14"/>
      <c r="B250" s="10"/>
      <c r="C250" s="7"/>
      <c r="D250" s="9"/>
      <c r="E250" s="9"/>
      <c r="F250" s="13"/>
      <c r="G250" s="8"/>
      <c r="H250" s="7"/>
      <c r="I250" s="7"/>
      <c r="J250" s="7"/>
      <c r="K250" s="8"/>
      <c r="L250" s="7"/>
      <c r="M250" s="7"/>
      <c r="N250" s="8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8"/>
      <c r="AA250" s="8"/>
      <c r="AB250" s="7"/>
      <c r="AC250" s="8"/>
      <c r="AD250" s="8"/>
      <c r="AE250" s="7"/>
      <c r="AF250" s="8"/>
      <c r="AG250" s="8"/>
      <c r="AH250" s="7"/>
      <c r="AI250" s="8"/>
      <c r="AJ250" s="8"/>
      <c r="AK250" s="7"/>
      <c r="AL250" s="8"/>
      <c r="AM250" s="8"/>
      <c r="AN250" s="7"/>
      <c r="AO250" s="8"/>
      <c r="AP250" s="8"/>
      <c r="AQ250" s="7"/>
      <c r="AR250" s="8"/>
      <c r="AS250" s="8"/>
      <c r="AT250" s="7"/>
      <c r="AU250" s="8"/>
      <c r="AV250" s="8"/>
      <c r="AW250" s="7"/>
      <c r="AX250" s="8"/>
      <c r="AY250" s="8"/>
      <c r="AZ250" s="7"/>
      <c r="BA250" s="8"/>
      <c r="BB250" s="8"/>
      <c r="BC250" s="7"/>
    </row>
    <row r="251" spans="1:55">
      <c r="A251" s="14"/>
      <c r="B251" s="10"/>
      <c r="C251" s="7"/>
      <c r="D251" s="9"/>
      <c r="E251" s="9"/>
      <c r="F251" s="13"/>
      <c r="G251" s="8"/>
      <c r="H251" s="7"/>
      <c r="I251" s="7"/>
      <c r="J251" s="7"/>
      <c r="K251" s="8"/>
      <c r="L251" s="7"/>
      <c r="M251" s="7"/>
      <c r="N251" s="8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8"/>
      <c r="AA251" s="8"/>
      <c r="AB251" s="7"/>
      <c r="AC251" s="8"/>
      <c r="AD251" s="8"/>
      <c r="AE251" s="7"/>
      <c r="AF251" s="8"/>
      <c r="AG251" s="8"/>
      <c r="AH251" s="7"/>
      <c r="AI251" s="8"/>
      <c r="AJ251" s="8"/>
      <c r="AK251" s="7"/>
      <c r="AL251" s="8"/>
      <c r="AM251" s="8"/>
      <c r="AN251" s="7"/>
      <c r="AO251" s="8"/>
      <c r="AP251" s="8"/>
      <c r="AQ251" s="7"/>
      <c r="AR251" s="8"/>
      <c r="AS251" s="8"/>
      <c r="AT251" s="7"/>
      <c r="AU251" s="8"/>
      <c r="AV251" s="8"/>
      <c r="AW251" s="7"/>
      <c r="AX251" s="8"/>
      <c r="AY251" s="8"/>
      <c r="AZ251" s="7"/>
      <c r="BA251" s="8"/>
      <c r="BB251" s="8"/>
      <c r="BC251" s="7"/>
    </row>
    <row r="252" spans="1:55">
      <c r="A252" s="14"/>
      <c r="B252" s="10"/>
      <c r="C252" s="7"/>
      <c r="D252" s="9"/>
      <c r="E252" s="9"/>
      <c r="F252" s="13"/>
      <c r="G252" s="8"/>
      <c r="H252" s="7"/>
      <c r="I252" s="7"/>
      <c r="J252" s="7"/>
      <c r="K252" s="8"/>
      <c r="L252" s="7"/>
      <c r="M252" s="7"/>
      <c r="N252" s="8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8"/>
      <c r="AA252" s="8"/>
      <c r="AB252" s="7"/>
      <c r="AC252" s="8"/>
      <c r="AD252" s="8"/>
      <c r="AE252" s="7"/>
      <c r="AF252" s="8"/>
      <c r="AG252" s="8"/>
      <c r="AH252" s="7"/>
      <c r="AI252" s="8"/>
      <c r="AJ252" s="8"/>
      <c r="AK252" s="7"/>
      <c r="AL252" s="8"/>
      <c r="AM252" s="8"/>
      <c r="AN252" s="7"/>
      <c r="AO252" s="8"/>
      <c r="AP252" s="8"/>
      <c r="AQ252" s="7"/>
      <c r="AR252" s="8"/>
      <c r="AS252" s="8"/>
      <c r="AT252" s="7"/>
      <c r="AU252" s="8"/>
      <c r="AV252" s="8"/>
      <c r="AW252" s="7"/>
      <c r="AX252" s="8"/>
      <c r="AY252" s="8"/>
      <c r="AZ252" s="7"/>
      <c r="BA252" s="8"/>
      <c r="BB252" s="8"/>
      <c r="BC252" s="7"/>
    </row>
    <row r="253" spans="1:55">
      <c r="A253" s="14"/>
      <c r="B253" s="10"/>
      <c r="C253" s="7"/>
      <c r="D253" s="9"/>
      <c r="E253" s="9"/>
      <c r="F253" s="13"/>
      <c r="G253" s="8"/>
      <c r="H253" s="7"/>
      <c r="I253" s="7"/>
      <c r="J253" s="7"/>
      <c r="K253" s="8"/>
      <c r="L253" s="7"/>
      <c r="M253" s="7"/>
      <c r="N253" s="8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8"/>
      <c r="AA253" s="8"/>
      <c r="AB253" s="7"/>
      <c r="AC253" s="8"/>
      <c r="AD253" s="8"/>
      <c r="AE253" s="7"/>
      <c r="AF253" s="8"/>
      <c r="AG253" s="8"/>
      <c r="AH253" s="7"/>
      <c r="AI253" s="8"/>
      <c r="AJ253" s="8"/>
      <c r="AK253" s="7"/>
      <c r="AL253" s="8"/>
      <c r="AM253" s="8"/>
      <c r="AN253" s="7"/>
      <c r="AO253" s="8"/>
      <c r="AP253" s="8"/>
      <c r="AQ253" s="7"/>
      <c r="AR253" s="8"/>
      <c r="AS253" s="8"/>
      <c r="AT253" s="7"/>
      <c r="AU253" s="8"/>
      <c r="AV253" s="8"/>
      <c r="AW253" s="7"/>
      <c r="AX253" s="8"/>
      <c r="AY253" s="8"/>
      <c r="AZ253" s="7"/>
      <c r="BA253" s="8"/>
      <c r="BB253" s="8"/>
      <c r="BC253" s="7"/>
    </row>
    <row r="254" spans="1:55">
      <c r="A254" s="14"/>
      <c r="B254" s="10"/>
      <c r="C254" s="7"/>
      <c r="D254" s="9"/>
      <c r="E254" s="9"/>
      <c r="F254" s="13"/>
      <c r="G254" s="8"/>
      <c r="H254" s="7"/>
      <c r="I254" s="7"/>
      <c r="J254" s="7"/>
      <c r="K254" s="8"/>
      <c r="L254" s="7"/>
      <c r="M254" s="7"/>
      <c r="N254" s="8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8"/>
      <c r="AA254" s="8"/>
      <c r="AB254" s="7"/>
      <c r="AC254" s="8"/>
      <c r="AD254" s="8"/>
      <c r="AE254" s="7"/>
      <c r="AF254" s="8"/>
      <c r="AG254" s="8"/>
      <c r="AH254" s="7"/>
      <c r="AI254" s="8"/>
      <c r="AJ254" s="8"/>
      <c r="AK254" s="7"/>
      <c r="AL254" s="8"/>
      <c r="AM254" s="8"/>
      <c r="AN254" s="7"/>
      <c r="AO254" s="8"/>
      <c r="AP254" s="8"/>
      <c r="AQ254" s="7"/>
      <c r="AR254" s="8"/>
      <c r="AS254" s="8"/>
      <c r="AT254" s="7"/>
      <c r="AU254" s="8"/>
      <c r="AV254" s="8"/>
      <c r="AW254" s="7"/>
      <c r="AX254" s="8"/>
      <c r="AY254" s="8"/>
      <c r="AZ254" s="7"/>
      <c r="BA254" s="8"/>
      <c r="BB254" s="8"/>
      <c r="BC254" s="7"/>
    </row>
    <row r="255" spans="1:55">
      <c r="A255" s="14"/>
      <c r="B255" s="10"/>
      <c r="C255" s="7"/>
      <c r="D255" s="9"/>
      <c r="E255" s="9"/>
      <c r="F255" s="13"/>
      <c r="G255" s="8"/>
      <c r="H255" s="7"/>
      <c r="I255" s="7"/>
      <c r="J255" s="7"/>
      <c r="K255" s="8"/>
      <c r="L255" s="7"/>
      <c r="M255" s="7"/>
      <c r="N255" s="8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8"/>
      <c r="AA255" s="8"/>
      <c r="AB255" s="7"/>
      <c r="AC255" s="8"/>
      <c r="AD255" s="8"/>
      <c r="AE255" s="7"/>
      <c r="AF255" s="8"/>
      <c r="AG255" s="8"/>
      <c r="AH255" s="7"/>
      <c r="AI255" s="8"/>
      <c r="AJ255" s="8"/>
      <c r="AK255" s="7"/>
      <c r="AL255" s="8"/>
      <c r="AM255" s="8"/>
      <c r="AN255" s="7"/>
      <c r="AO255" s="8"/>
      <c r="AP255" s="8"/>
      <c r="AQ255" s="7"/>
      <c r="AR255" s="8"/>
      <c r="AS255" s="8"/>
      <c r="AT255" s="7"/>
      <c r="AU255" s="8"/>
      <c r="AV255" s="8"/>
      <c r="AW255" s="7"/>
      <c r="AX255" s="8"/>
      <c r="AY255" s="8"/>
      <c r="AZ255" s="7"/>
      <c r="BA255" s="8"/>
      <c r="BB255" s="8"/>
      <c r="BC255" s="7"/>
    </row>
    <row r="256" spans="1:55">
      <c r="A256" s="12"/>
      <c r="B256" s="11"/>
      <c r="C256" s="7"/>
      <c r="D256" s="8"/>
      <c r="E256" s="8"/>
      <c r="F256" s="13"/>
      <c r="G256" s="8"/>
      <c r="H256" s="7"/>
      <c r="I256" s="7"/>
      <c r="J256" s="7"/>
      <c r="K256" s="8"/>
      <c r="L256" s="7"/>
      <c r="M256" s="7"/>
      <c r="N256" s="8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8"/>
      <c r="AA256" s="8"/>
      <c r="AB256" s="7"/>
      <c r="AC256" s="8"/>
      <c r="AD256" s="8"/>
      <c r="AE256" s="7"/>
      <c r="AF256" s="8"/>
      <c r="AG256" s="8"/>
      <c r="AH256" s="7"/>
      <c r="AI256" s="8"/>
      <c r="AJ256" s="8"/>
      <c r="AK256" s="7"/>
      <c r="AL256" s="8"/>
      <c r="AM256" s="8"/>
      <c r="AN256" s="7"/>
      <c r="AO256" s="8"/>
      <c r="AP256" s="8"/>
      <c r="AQ256" s="7"/>
      <c r="AR256" s="8"/>
      <c r="AS256" s="8"/>
      <c r="AT256" s="7"/>
      <c r="AU256" s="8"/>
      <c r="AV256" s="8"/>
      <c r="AW256" s="7"/>
      <c r="AX256" s="8"/>
      <c r="AY256" s="8"/>
      <c r="AZ256" s="7"/>
      <c r="BA256" s="8"/>
      <c r="BB256" s="8"/>
      <c r="BC256" s="7"/>
    </row>
  </sheetData>
  <mergeCells count="11">
    <mergeCell ref="BA1:BC1"/>
    <mergeCell ref="AX1:AZ1"/>
    <mergeCell ref="AU1:AW1"/>
    <mergeCell ref="AR1:AT1"/>
    <mergeCell ref="AO1:AQ1"/>
    <mergeCell ref="AL1:AN1"/>
    <mergeCell ref="AI1:AK1"/>
    <mergeCell ref="P1:Y1"/>
    <mergeCell ref="AF1:AH1"/>
    <mergeCell ref="AC1:AE1"/>
    <mergeCell ref="Z1:AB1"/>
  </mergeCells>
  <phoneticPr fontId="12"/>
  <conditionalFormatting sqref="E18:I19 C20:AA26 F17:I17 K17:AA19 C3:AD3 F92:Y92 K93:AB98 C15:C19 F15:AA16 F93:J94 AB205:BC209 C92:C95 F95 H95:J95 C27:AE30 C31:L31 H35:L35 H34:I34 C34:G35 C36:L44 C53:L54 J32:L34 C32:I33 C51:M52 M31:BC44 M50:BC54 C50:L50 AB81:AB90 AE81:AE90 AH81:AH90 AK81:AK90 AN81:AN90 AQ81:AQ90 AT81:AT90 AW81:AW90 AZ81:AZ90 BC81:BC90 C45:BC49 D58:F58 F59:F65 AB55:BC67 C61 C63 G58:AA65 C58:C59 C64:E67 F66:AA67 C60:E60 C62:E62 C55:AA57 C69:C70 M91:AB91 M70:AB80 C71:L80 C68:AB68 AC91:BC98 AC68:BC80 D69:AB69 D70:L70 N99:BC101 D102:BC108 C246:BC256 C99:M99 D100:M101 C100:C108 C109:BC154 C163:BC168 C180:BC180 K172:BC174 D175:AA176 M155:BC162 AF180:AP182 AB169:BC171 AB175:BC179 K170:AA171 C169:AA169 D172:I174 C171:I171 D170:I170 F177:AA179 D177:E178 J170:J174 K194:AA197 C188:L188 M188:AA193 AB188:BC197 K189:L193 C189:J197 D181:BC184 C185:BC187 C170:C184 C198:BC204 C211:C224 C210:BC210 E211:BC224 D211:D214 C226:C227 C229:C245 C225:BC225 F233:BC237 F238:F242 E243:F245 C228:BC228 D229:BC230 E231:BC232 G238:BC245 E233:E242 D231:D245 E227 F226:BC227 AF14:BC30 AC14:AE26 C14:AA14 AF3:AG7 AI3:AJ7 AL3:AM7 AO3:AP7 AR3:AS7 AU3:AV7 AX3:AY7 BA3:BB7 BC4:BC7 AZ4:AZ7 AW4:AW7 AT4:AT7 AQ4:AQ7 AN4:AN7 AK4:AK7 AH4:AH7 C4:AE7">
    <cfRule type="expression" dxfId="159" priority="1187" stopIfTrue="1">
      <formula>NOT(ISBLANK($O3))</formula>
    </cfRule>
    <cfRule type="expression" dxfId="158" priority="1188" stopIfTrue="1">
      <formula>NOT(ISBLANK($L3))</formula>
    </cfRule>
  </conditionalFormatting>
  <conditionalFormatting sqref="C81:AA81 C85:F90 K82:AA90 M205:AA205 D206:I206 D207:E209 G209:AA209 G207:I208 K206:AA208 AC81:AD90 AF81:AG90 AI81:AJ90 AL81:AM90 AO81:AP90 AR81:AS90 AU81:AV90 AX81:AY90 BA81:BB90 C82:C85 F82:I84">
    <cfRule type="expression" dxfId="157" priority="1183" stopIfTrue="1">
      <formula>NOT(ISBLANK($O81))</formula>
    </cfRule>
    <cfRule type="expression" dxfId="156" priority="1184" stopIfTrue="1">
      <formula>NOT(ISBLANK($L81))</formula>
    </cfRule>
  </conditionalFormatting>
  <conditionalFormatting sqref="C91:L91 C97:F98 H96:I96 D96:F96">
    <cfRule type="expression" dxfId="155" priority="1171" stopIfTrue="1">
      <formula>NOT(ISBLANK($O91))</formula>
    </cfRule>
    <cfRule type="expression" dxfId="154" priority="1172" stopIfTrue="1">
      <formula>NOT(ISBLANK($L91))</formula>
    </cfRule>
  </conditionalFormatting>
  <conditionalFormatting sqref="G85:G90">
    <cfRule type="expression" dxfId="153" priority="1167" stopIfTrue="1">
      <formula>NOT(ISBLANK($O85))</formula>
    </cfRule>
    <cfRule type="expression" dxfId="152" priority="1168" stopIfTrue="1">
      <formula>NOT(ISBLANK($L85))</formula>
    </cfRule>
  </conditionalFormatting>
  <conditionalFormatting sqref="H85:I90">
    <cfRule type="expression" dxfId="151" priority="1165" stopIfTrue="1">
      <formula>NOT(ISBLANK($O85))</formula>
    </cfRule>
    <cfRule type="expression" dxfId="150" priority="1166" stopIfTrue="1">
      <formula>NOT(ISBLANK($L85))</formula>
    </cfRule>
  </conditionalFormatting>
  <conditionalFormatting sqref="D15:E16">
    <cfRule type="expression" dxfId="149" priority="1157" stopIfTrue="1">
      <formula>NOT(ISBLANK($O15))</formula>
    </cfRule>
    <cfRule type="expression" dxfId="148" priority="1158" stopIfTrue="1">
      <formula>NOT(ISBLANK($L15))</formula>
    </cfRule>
  </conditionalFormatting>
  <conditionalFormatting sqref="D17:E17">
    <cfRule type="expression" dxfId="147" priority="1155" stopIfTrue="1">
      <formula>NOT(ISBLANK($O17))</formula>
    </cfRule>
    <cfRule type="expression" dxfId="146" priority="1156" stopIfTrue="1">
      <formula>NOT(ISBLANK($L17))</formula>
    </cfRule>
  </conditionalFormatting>
  <conditionalFormatting sqref="D18">
    <cfRule type="expression" dxfId="145" priority="1149" stopIfTrue="1">
      <formula>NOT(ISBLANK($O18))</formula>
    </cfRule>
    <cfRule type="expression" dxfId="144" priority="1150" stopIfTrue="1">
      <formula>NOT(ISBLANK($L18))</formula>
    </cfRule>
  </conditionalFormatting>
  <conditionalFormatting sqref="D19">
    <cfRule type="expression" dxfId="143" priority="1151" stopIfTrue="1">
      <formula>NOT(ISBLANK($O19))</formula>
    </cfRule>
    <cfRule type="expression" dxfId="142" priority="1152" stopIfTrue="1">
      <formula>NOT(ISBLANK($L19))</formula>
    </cfRule>
  </conditionalFormatting>
  <conditionalFormatting sqref="J96:J98">
    <cfRule type="expression" dxfId="141" priority="1107" stopIfTrue="1">
      <formula>NOT(ISBLANK($O96))</formula>
    </cfRule>
    <cfRule type="expression" dxfId="140" priority="1108" stopIfTrue="1">
      <formula>NOT(ISBLANK($L96))</formula>
    </cfRule>
  </conditionalFormatting>
  <conditionalFormatting sqref="G96:G98">
    <cfRule type="expression" dxfId="139" priority="1127" stopIfTrue="1">
      <formula>NOT(ISBLANK($O96))</formula>
    </cfRule>
    <cfRule type="expression" dxfId="138" priority="1128" stopIfTrue="1">
      <formula>NOT(ISBLANK($L96))</formula>
    </cfRule>
  </conditionalFormatting>
  <conditionalFormatting sqref="H97:I97">
    <cfRule type="expression" dxfId="137" priority="1125" stopIfTrue="1">
      <formula>NOT(ISBLANK($O97))</formula>
    </cfRule>
    <cfRule type="expression" dxfId="136" priority="1126" stopIfTrue="1">
      <formula>NOT(ISBLANK($L97))</formula>
    </cfRule>
  </conditionalFormatting>
  <conditionalFormatting sqref="H98:I98">
    <cfRule type="expression" dxfId="135" priority="1123" stopIfTrue="1">
      <formula>NOT(ISBLANK($O98))</formula>
    </cfRule>
    <cfRule type="expression" dxfId="134" priority="1124" stopIfTrue="1">
      <formula>NOT(ISBLANK($L98))</formula>
    </cfRule>
  </conditionalFormatting>
  <conditionalFormatting sqref="J82:J84">
    <cfRule type="expression" dxfId="133" priority="1121" stopIfTrue="1">
      <formula>NOT(ISBLANK($O82))</formula>
    </cfRule>
    <cfRule type="expression" dxfId="132" priority="1122" stopIfTrue="1">
      <formula>NOT(ISBLANK($L82))</formula>
    </cfRule>
  </conditionalFormatting>
  <conditionalFormatting sqref="J85:J90">
    <cfRule type="expression" dxfId="131" priority="1069" stopIfTrue="1">
      <formula>NOT(ISBLANK($O85))</formula>
    </cfRule>
    <cfRule type="expression" dxfId="130" priority="1070" stopIfTrue="1">
      <formula>NOT(ISBLANK($L85))</formula>
    </cfRule>
  </conditionalFormatting>
  <conditionalFormatting sqref="D82:E82">
    <cfRule type="expression" dxfId="129" priority="1065" stopIfTrue="1">
      <formula>NOT(ISBLANK($O82))</formula>
    </cfRule>
    <cfRule type="expression" dxfId="128" priority="1066" stopIfTrue="1">
      <formula>NOT(ISBLANK($L82))</formula>
    </cfRule>
  </conditionalFormatting>
  <conditionalFormatting sqref="J17:J19">
    <cfRule type="expression" dxfId="127" priority="1059" stopIfTrue="1">
      <formula>NOT(ISBLANK($O17))</formula>
    </cfRule>
    <cfRule type="expression" dxfId="126" priority="1060" stopIfTrue="1">
      <formula>NOT(ISBLANK($L17))</formula>
    </cfRule>
  </conditionalFormatting>
  <conditionalFormatting sqref="C155:L155 C156:D156 K156:L162 C157:C162 F156:I162">
    <cfRule type="expression" dxfId="125" priority="1011" stopIfTrue="1">
      <formula>NOT(ISBLANK($O155))</formula>
    </cfRule>
    <cfRule type="expression" dxfId="124" priority="1012" stopIfTrue="1">
      <formula>NOT(ISBLANK($L155))</formula>
    </cfRule>
  </conditionalFormatting>
  <conditionalFormatting sqref="J156">
    <cfRule type="expression" dxfId="123" priority="1009" stopIfTrue="1">
      <formula>NOT(ISBLANK($O156))</formula>
    </cfRule>
    <cfRule type="expression" dxfId="122" priority="1010" stopIfTrue="1">
      <formula>NOT(ISBLANK($L156))</formula>
    </cfRule>
  </conditionalFormatting>
  <conditionalFormatting sqref="D161 D215:D223">
    <cfRule type="expression" dxfId="121" priority="1005" stopIfTrue="1">
      <formula>NOT(ISBLANK($O158))</formula>
    </cfRule>
    <cfRule type="expression" dxfId="120" priority="1006" stopIfTrue="1">
      <formula>NOT(ISBLANK($L158))</formula>
    </cfRule>
  </conditionalFormatting>
  <conditionalFormatting sqref="D157">
    <cfRule type="expression" dxfId="119" priority="1003" stopIfTrue="1">
      <formula>NOT(ISBLANK($O157))</formula>
    </cfRule>
    <cfRule type="expression" dxfId="118" priority="1004" stopIfTrue="1">
      <formula>NOT(ISBLANK($L157))</formula>
    </cfRule>
  </conditionalFormatting>
  <conditionalFormatting sqref="E156">
    <cfRule type="expression" dxfId="117" priority="999" stopIfTrue="1">
      <formula>NOT(ISBLANK($O156))</formula>
    </cfRule>
    <cfRule type="expression" dxfId="116" priority="1000" stopIfTrue="1">
      <formula>NOT(ISBLANK($L156))</formula>
    </cfRule>
  </conditionalFormatting>
  <conditionalFormatting sqref="E161">
    <cfRule type="expression" dxfId="115" priority="995" stopIfTrue="1">
      <formula>NOT(ISBLANK($O158))</formula>
    </cfRule>
    <cfRule type="expression" dxfId="114" priority="996" stopIfTrue="1">
      <formula>NOT(ISBLANK($L158))</formula>
    </cfRule>
  </conditionalFormatting>
  <conditionalFormatting sqref="E157">
    <cfRule type="expression" dxfId="113" priority="993" stopIfTrue="1">
      <formula>NOT(ISBLANK($O157))</formula>
    </cfRule>
    <cfRule type="expression" dxfId="112" priority="994" stopIfTrue="1">
      <formula>NOT(ISBLANK($L157))</formula>
    </cfRule>
  </conditionalFormatting>
  <conditionalFormatting sqref="J158:J160">
    <cfRule type="expression" dxfId="111" priority="987" stopIfTrue="1">
      <formula>NOT(ISBLANK($O158))</formula>
    </cfRule>
    <cfRule type="expression" dxfId="110" priority="988" stopIfTrue="1">
      <formula>NOT(ISBLANK($L158))</formula>
    </cfRule>
  </conditionalFormatting>
  <conditionalFormatting sqref="E157">
    <cfRule type="expression" dxfId="109" priority="951" stopIfTrue="1">
      <formula>NOT(ISBLANK($O157))</formula>
    </cfRule>
    <cfRule type="expression" dxfId="108" priority="952" stopIfTrue="1">
      <formula>NOT(ISBLANK($L157))</formula>
    </cfRule>
  </conditionalFormatting>
  <conditionalFormatting sqref="D156">
    <cfRule type="expression" dxfId="107" priority="953" stopIfTrue="1">
      <formula>NOT(ISBLANK($O156))</formula>
    </cfRule>
    <cfRule type="expression" dxfId="106" priority="954" stopIfTrue="1">
      <formula>NOT(ISBLANK($L156))</formula>
    </cfRule>
  </conditionalFormatting>
  <conditionalFormatting sqref="D157">
    <cfRule type="expression" dxfId="105" priority="955" stopIfTrue="1">
      <formula>NOT(ISBLANK($O157))</formula>
    </cfRule>
    <cfRule type="expression" dxfId="104" priority="956" stopIfTrue="1">
      <formula>NOT(ISBLANK($L157))</formula>
    </cfRule>
  </conditionalFormatting>
  <conditionalFormatting sqref="J157">
    <cfRule type="expression" dxfId="103" priority="945" stopIfTrue="1">
      <formula>NOT(ISBLANK($O157))</formula>
    </cfRule>
    <cfRule type="expression" dxfId="102" priority="946" stopIfTrue="1">
      <formula>NOT(ISBLANK($L157))</formula>
    </cfRule>
  </conditionalFormatting>
  <conditionalFormatting sqref="E156">
    <cfRule type="expression" dxfId="101" priority="949" stopIfTrue="1">
      <formula>NOT(ISBLANK($O156))</formula>
    </cfRule>
    <cfRule type="expression" dxfId="100" priority="950" stopIfTrue="1">
      <formula>NOT(ISBLANK($L156))</formula>
    </cfRule>
  </conditionalFormatting>
  <conditionalFormatting sqref="D161:E161">
    <cfRule type="expression" dxfId="99" priority="947" stopIfTrue="1">
      <formula>NOT(ISBLANK($O158))</formula>
    </cfRule>
    <cfRule type="expression" dxfId="98" priority="948" stopIfTrue="1">
      <formula>NOT(ISBLANK($L158))</formula>
    </cfRule>
  </conditionalFormatting>
  <conditionalFormatting sqref="E158:E160">
    <cfRule type="expression" dxfId="97" priority="913" stopIfTrue="1">
      <formula>NOT(ISBLANK($O157))</formula>
    </cfRule>
    <cfRule type="expression" dxfId="96" priority="914" stopIfTrue="1">
      <formula>NOT(ISBLANK($L157))</formula>
    </cfRule>
  </conditionalFormatting>
  <conditionalFormatting sqref="D158:D160">
    <cfRule type="expression" dxfId="95" priority="911" stopIfTrue="1">
      <formula>NOT(ISBLANK($O157))</formula>
    </cfRule>
    <cfRule type="expression" dxfId="94" priority="912" stopIfTrue="1">
      <formula>NOT(ISBLANK($L157))</formula>
    </cfRule>
  </conditionalFormatting>
  <conditionalFormatting sqref="J161:J162">
    <cfRule type="expression" dxfId="93" priority="909" stopIfTrue="1">
      <formula>NOT(ISBLANK($O161))</formula>
    </cfRule>
    <cfRule type="expression" dxfId="92" priority="910" stopIfTrue="1">
      <formula>NOT(ISBLANK($L161))</formula>
    </cfRule>
  </conditionalFormatting>
  <conditionalFormatting sqref="C205:L205">
    <cfRule type="expression" dxfId="91" priority="899" stopIfTrue="1">
      <formula>NOT(ISBLANK($O205))</formula>
    </cfRule>
    <cfRule type="expression" dxfId="90" priority="900" stopIfTrue="1">
      <formula>NOT(ISBLANK($L205))</formula>
    </cfRule>
  </conditionalFormatting>
  <conditionalFormatting sqref="C206:C209">
    <cfRule type="expression" dxfId="89" priority="897" stopIfTrue="1">
      <formula>NOT(ISBLANK($O206))</formula>
    </cfRule>
    <cfRule type="expression" dxfId="88" priority="898" stopIfTrue="1">
      <formula>NOT(ISBLANK($L206))</formula>
    </cfRule>
  </conditionalFormatting>
  <conditionalFormatting sqref="J206">
    <cfRule type="expression" dxfId="87" priority="895" stopIfTrue="1">
      <formula>NOT(ISBLANK($O206))</formula>
    </cfRule>
    <cfRule type="expression" dxfId="86" priority="896" stopIfTrue="1">
      <formula>NOT(ISBLANK($L206))</formula>
    </cfRule>
  </conditionalFormatting>
  <conditionalFormatting sqref="J207">
    <cfRule type="expression" dxfId="85" priority="893" stopIfTrue="1">
      <formula>NOT(ISBLANK($O207))</formula>
    </cfRule>
    <cfRule type="expression" dxfId="84" priority="894" stopIfTrue="1">
      <formula>NOT(ISBLANK($L207))</formula>
    </cfRule>
  </conditionalFormatting>
  <conditionalFormatting sqref="F207:F209">
    <cfRule type="expression" dxfId="83" priority="891" stopIfTrue="1">
      <formula>NOT(ISBLANK($O207))</formula>
    </cfRule>
    <cfRule type="expression" dxfId="82" priority="892" stopIfTrue="1">
      <formula>NOT(ISBLANK($L207))</formula>
    </cfRule>
  </conditionalFormatting>
  <conditionalFormatting sqref="J208">
    <cfRule type="expression" dxfId="81" priority="889" stopIfTrue="1">
      <formula>NOT(ISBLANK($O208))</formula>
    </cfRule>
    <cfRule type="expression" dxfId="80" priority="890" stopIfTrue="1">
      <formula>NOT(ISBLANK($L208))</formula>
    </cfRule>
  </conditionalFormatting>
  <conditionalFormatting sqref="AB14:AB26">
    <cfRule type="expression" dxfId="79" priority="859" stopIfTrue="1">
      <formula>NOT(ISBLANK($O14))</formula>
    </cfRule>
    <cfRule type="expression" dxfId="78" priority="860" stopIfTrue="1">
      <formula>NOT(ISBLANK($L14))</formula>
    </cfRule>
  </conditionalFormatting>
  <conditionalFormatting sqref="AE3">
    <cfRule type="expression" dxfId="77" priority="857" stopIfTrue="1">
      <formula>NOT(ISBLANK($O3))</formula>
    </cfRule>
    <cfRule type="expression" dxfId="76" priority="858" stopIfTrue="1">
      <formula>NOT(ISBLANK($L3))</formula>
    </cfRule>
  </conditionalFormatting>
  <conditionalFormatting sqref="AH3">
    <cfRule type="expression" dxfId="75" priority="853" stopIfTrue="1">
      <formula>NOT(ISBLANK($O3))</formula>
    </cfRule>
    <cfRule type="expression" dxfId="74" priority="854" stopIfTrue="1">
      <formula>NOT(ISBLANK($L3))</formula>
    </cfRule>
  </conditionalFormatting>
  <conditionalFormatting sqref="AK3">
    <cfRule type="expression" dxfId="73" priority="849" stopIfTrue="1">
      <formula>NOT(ISBLANK($O3))</formula>
    </cfRule>
    <cfRule type="expression" dxfId="72" priority="850" stopIfTrue="1">
      <formula>NOT(ISBLANK($L3))</formula>
    </cfRule>
  </conditionalFormatting>
  <conditionalFormatting sqref="AN3">
    <cfRule type="expression" dxfId="71" priority="845" stopIfTrue="1">
      <formula>NOT(ISBLANK($O3))</formula>
    </cfRule>
    <cfRule type="expression" dxfId="70" priority="846" stopIfTrue="1">
      <formula>NOT(ISBLANK($L3))</formula>
    </cfRule>
  </conditionalFormatting>
  <conditionalFormatting sqref="AQ3">
    <cfRule type="expression" dxfId="69" priority="841" stopIfTrue="1">
      <formula>NOT(ISBLANK($O3))</formula>
    </cfRule>
    <cfRule type="expression" dxfId="68" priority="842" stopIfTrue="1">
      <formula>NOT(ISBLANK($L3))</formula>
    </cfRule>
  </conditionalFormatting>
  <conditionalFormatting sqref="AT3">
    <cfRule type="expression" dxfId="67" priority="837" stopIfTrue="1">
      <formula>NOT(ISBLANK($O3))</formula>
    </cfRule>
    <cfRule type="expression" dxfId="66" priority="838" stopIfTrue="1">
      <formula>NOT(ISBLANK($L3))</formula>
    </cfRule>
  </conditionalFormatting>
  <conditionalFormatting sqref="AW3">
    <cfRule type="expression" dxfId="65" priority="829" stopIfTrue="1">
      <formula>NOT(ISBLANK($O3))</formula>
    </cfRule>
    <cfRule type="expression" dxfId="64" priority="830" stopIfTrue="1">
      <formula>NOT(ISBLANK($L3))</formula>
    </cfRule>
  </conditionalFormatting>
  <conditionalFormatting sqref="AZ3">
    <cfRule type="expression" dxfId="63" priority="825" stopIfTrue="1">
      <formula>NOT(ISBLANK($O3))</formula>
    </cfRule>
    <cfRule type="expression" dxfId="62" priority="826" stopIfTrue="1">
      <formula>NOT(ISBLANK($L3))</formula>
    </cfRule>
  </conditionalFormatting>
  <conditionalFormatting sqref="BC3">
    <cfRule type="expression" dxfId="61" priority="821" stopIfTrue="1">
      <formula>NOT(ISBLANK($O3))</formula>
    </cfRule>
    <cfRule type="expression" dxfId="60" priority="822" stopIfTrue="1">
      <formula>NOT(ISBLANK($L3))</formula>
    </cfRule>
  </conditionalFormatting>
  <conditionalFormatting sqref="D92">
    <cfRule type="expression" dxfId="59" priority="805" stopIfTrue="1">
      <formula>NOT(ISBLANK($O92))</formula>
    </cfRule>
    <cfRule type="expression" dxfId="58" priority="806" stopIfTrue="1">
      <formula>NOT(ISBLANK($L92))</formula>
    </cfRule>
  </conditionalFormatting>
  <conditionalFormatting sqref="E92">
    <cfRule type="expression" dxfId="57" priority="799" stopIfTrue="1">
      <formula>NOT(ISBLANK($O92))</formula>
    </cfRule>
    <cfRule type="expression" dxfId="56" priority="800" stopIfTrue="1">
      <formula>NOT(ISBLANK($L92))</formula>
    </cfRule>
  </conditionalFormatting>
  <conditionalFormatting sqref="Z92:AA92">
    <cfRule type="expression" dxfId="55" priority="797" stopIfTrue="1">
      <formula>NOT(ISBLANK($O92))</formula>
    </cfRule>
    <cfRule type="expression" dxfId="54" priority="798" stopIfTrue="1">
      <formula>NOT(ISBLANK($L92))</formula>
    </cfRule>
  </conditionalFormatting>
  <conditionalFormatting sqref="AB92">
    <cfRule type="expression" dxfId="53" priority="795" stopIfTrue="1">
      <formula>NOT(ISBLANK($O92))</formula>
    </cfRule>
    <cfRule type="expression" dxfId="52" priority="796" stopIfTrue="1">
      <formula>NOT(ISBLANK($L92))</formula>
    </cfRule>
  </conditionalFormatting>
  <conditionalFormatting sqref="D59:E59 D61:E61 D63:E63">
    <cfRule type="expression" dxfId="51" priority="1199" stopIfTrue="1">
      <formula>NOT(ISBLANK($O62))</formula>
    </cfRule>
    <cfRule type="expression" dxfId="50" priority="1200" stopIfTrue="1">
      <formula>NOT(ISBLANK($L62))</formula>
    </cfRule>
  </conditionalFormatting>
  <conditionalFormatting sqref="D224">
    <cfRule type="expression" dxfId="49" priority="1203" stopIfTrue="1">
      <formula>NOT(ISBLANK($O211))</formula>
    </cfRule>
    <cfRule type="expression" dxfId="48" priority="1204" stopIfTrue="1">
      <formula>NOT(ISBLANK($L211))</formula>
    </cfRule>
  </conditionalFormatting>
  <conditionalFormatting sqref="D83:E83 D84">
    <cfRule type="expression" dxfId="47" priority="445" stopIfTrue="1">
      <formula>NOT(ISBLANK($O83))</formula>
    </cfRule>
    <cfRule type="expression" dxfId="46" priority="446" stopIfTrue="1">
      <formula>NOT(ISBLANK($L83))</formula>
    </cfRule>
  </conditionalFormatting>
  <conditionalFormatting sqref="D93:E93">
    <cfRule type="expression" dxfId="45" priority="443" stopIfTrue="1">
      <formula>NOT(ISBLANK($O93))</formula>
    </cfRule>
    <cfRule type="expression" dxfId="44" priority="444" stopIfTrue="1">
      <formula>NOT(ISBLANK($L93))</formula>
    </cfRule>
  </conditionalFormatting>
  <conditionalFormatting sqref="E179 E226">
    <cfRule type="expression" dxfId="43" priority="1207" stopIfTrue="1">
      <formula>NOT(ISBLANK($O180))</formula>
    </cfRule>
    <cfRule type="expression" dxfId="42" priority="1208" stopIfTrue="1">
      <formula>NOT(ISBLANK($L180))</formula>
    </cfRule>
  </conditionalFormatting>
  <conditionalFormatting sqref="D226:D227">
    <cfRule type="expression" dxfId="41" priority="1211" stopIfTrue="1">
      <formula>NOT(ISBLANK($O214))</formula>
    </cfRule>
    <cfRule type="expression" dxfId="40" priority="1212" stopIfTrue="1">
      <formula>NOT(ISBLANK($L214))</formula>
    </cfRule>
  </conditionalFormatting>
  <conditionalFormatting sqref="D179">
    <cfRule type="expression" dxfId="39" priority="371" stopIfTrue="1">
      <formula>NOT(ISBLANK($O97))</formula>
    </cfRule>
    <cfRule type="expression" dxfId="38" priority="372" stopIfTrue="1">
      <formula>NOT(ISBLANK($L97))</formula>
    </cfRule>
  </conditionalFormatting>
  <conditionalFormatting sqref="E84">
    <cfRule type="expression" dxfId="37" priority="319" stopIfTrue="1">
      <formula>NOT(ISBLANK($O84))</formula>
    </cfRule>
    <cfRule type="expression" dxfId="36" priority="320" stopIfTrue="1">
      <formula>NOT(ISBLANK($L84))</formula>
    </cfRule>
  </conditionalFormatting>
  <conditionalFormatting sqref="D94:D95">
    <cfRule type="expression" dxfId="35" priority="315" stopIfTrue="1">
      <formula>NOT(ISBLANK($O94))</formula>
    </cfRule>
    <cfRule type="expression" dxfId="34" priority="316" stopIfTrue="1">
      <formula>NOT(ISBLANK($L94))</formula>
    </cfRule>
  </conditionalFormatting>
  <conditionalFormatting sqref="E94:E95">
    <cfRule type="expression" dxfId="33" priority="313" stopIfTrue="1">
      <formula>NOT(ISBLANK($O94))</formula>
    </cfRule>
    <cfRule type="expression" dxfId="32" priority="314" stopIfTrue="1">
      <formula>NOT(ISBLANK($L94))</formula>
    </cfRule>
  </conditionalFormatting>
  <conditionalFormatting sqref="C96">
    <cfRule type="expression" dxfId="31" priority="39" stopIfTrue="1">
      <formula>NOT(ISBLANK($O96))</formula>
    </cfRule>
    <cfRule type="expression" dxfId="30" priority="40" stopIfTrue="1">
      <formula>NOT(ISBLANK($L96))</formula>
    </cfRule>
  </conditionalFormatting>
  <conditionalFormatting sqref="G95">
    <cfRule type="expression" dxfId="29" priority="37" stopIfTrue="1">
      <formula>NOT(ISBLANK($O95))</formula>
    </cfRule>
    <cfRule type="expression" dxfId="28" priority="38" stopIfTrue="1">
      <formula>NOT(ISBLANK($L95))</formula>
    </cfRule>
  </conditionalFormatting>
  <conditionalFormatting sqref="D162">
    <cfRule type="expression" dxfId="27" priority="27" stopIfTrue="1">
      <formula>NOT(ISBLANK($O162))</formula>
    </cfRule>
    <cfRule type="expression" dxfId="26" priority="28" stopIfTrue="1">
      <formula>NOT(ISBLANK($L162))</formula>
    </cfRule>
  </conditionalFormatting>
  <conditionalFormatting sqref="D162">
    <cfRule type="expression" dxfId="25" priority="25" stopIfTrue="1">
      <formula>NOT(ISBLANK($O162))</formula>
    </cfRule>
    <cfRule type="expression" dxfId="24" priority="26" stopIfTrue="1">
      <formula>NOT(ISBLANK($L162))</formula>
    </cfRule>
  </conditionalFormatting>
  <conditionalFormatting sqref="E162">
    <cfRule type="expression" dxfId="23" priority="23" stopIfTrue="1">
      <formula>NOT(ISBLANK($O162))</formula>
    </cfRule>
    <cfRule type="expression" dxfId="22" priority="24" stopIfTrue="1">
      <formula>NOT(ISBLANK($L162))</formula>
    </cfRule>
  </conditionalFormatting>
  <conditionalFormatting sqref="C8:AD8 C9:AA13 AC9:AE13 AF8:AG13 AI8:AJ13 AL8:AM13 AO8:AP13 AR8:AS13 AU8:AV13 AX8:AY13 BA8:BB13 BC9:BC13 AZ9:AZ13 AW9:AW13 AT9:AT13 AQ9:AQ13 AN9:AN13 AK9:AK13 AH9:AH13">
    <cfRule type="expression" dxfId="21" priority="21" stopIfTrue="1">
      <formula>NOT(ISBLANK($O8))</formula>
    </cfRule>
    <cfRule type="expression" dxfId="20" priority="22" stopIfTrue="1">
      <formula>NOT(ISBLANK($L8))</formula>
    </cfRule>
  </conditionalFormatting>
  <conditionalFormatting sqref="AB9:AB13">
    <cfRule type="expression" dxfId="19" priority="19" stopIfTrue="1">
      <formula>NOT(ISBLANK($O9))</formula>
    </cfRule>
    <cfRule type="expression" dxfId="18" priority="20" stopIfTrue="1">
      <formula>NOT(ISBLANK($L9))</formula>
    </cfRule>
  </conditionalFormatting>
  <conditionalFormatting sqref="AE8">
    <cfRule type="expression" dxfId="17" priority="17" stopIfTrue="1">
      <formula>NOT(ISBLANK($O8))</formula>
    </cfRule>
    <cfRule type="expression" dxfId="16" priority="18" stopIfTrue="1">
      <formula>NOT(ISBLANK($L8))</formula>
    </cfRule>
  </conditionalFormatting>
  <conditionalFormatting sqref="AH8">
    <cfRule type="expression" dxfId="15" priority="15" stopIfTrue="1">
      <formula>NOT(ISBLANK($O8))</formula>
    </cfRule>
    <cfRule type="expression" dxfId="14" priority="16" stopIfTrue="1">
      <formula>NOT(ISBLANK($L8))</formula>
    </cfRule>
  </conditionalFormatting>
  <conditionalFormatting sqref="AK8">
    <cfRule type="expression" dxfId="13" priority="13" stopIfTrue="1">
      <formula>NOT(ISBLANK($O8))</formula>
    </cfRule>
    <cfRule type="expression" dxfId="12" priority="14" stopIfTrue="1">
      <formula>NOT(ISBLANK($L8))</formula>
    </cfRule>
  </conditionalFormatting>
  <conditionalFormatting sqref="AN8">
    <cfRule type="expression" dxfId="11" priority="11" stopIfTrue="1">
      <formula>NOT(ISBLANK($O8))</formula>
    </cfRule>
    <cfRule type="expression" dxfId="10" priority="12" stopIfTrue="1">
      <formula>NOT(ISBLANK($L8))</formula>
    </cfRule>
  </conditionalFormatting>
  <conditionalFormatting sqref="AQ8">
    <cfRule type="expression" dxfId="9" priority="9" stopIfTrue="1">
      <formula>NOT(ISBLANK($O8))</formula>
    </cfRule>
    <cfRule type="expression" dxfId="8" priority="10" stopIfTrue="1">
      <formula>NOT(ISBLANK($L8))</formula>
    </cfRule>
  </conditionalFormatting>
  <conditionalFormatting sqref="AT8">
    <cfRule type="expression" dxfId="7" priority="7" stopIfTrue="1">
      <formula>NOT(ISBLANK($O8))</formula>
    </cfRule>
    <cfRule type="expression" dxfId="6" priority="8" stopIfTrue="1">
      <formula>NOT(ISBLANK($L8))</formula>
    </cfRule>
  </conditionalFormatting>
  <conditionalFormatting sqref="AW8">
    <cfRule type="expression" dxfId="5" priority="5" stopIfTrue="1">
      <formula>NOT(ISBLANK($O8))</formula>
    </cfRule>
    <cfRule type="expression" dxfId="4" priority="6" stopIfTrue="1">
      <formula>NOT(ISBLANK($L8))</formula>
    </cfRule>
  </conditionalFormatting>
  <conditionalFormatting sqref="AZ8">
    <cfRule type="expression" dxfId="3" priority="3" stopIfTrue="1">
      <formula>NOT(ISBLANK($O8))</formula>
    </cfRule>
    <cfRule type="expression" dxfId="2" priority="4" stopIfTrue="1">
      <formula>NOT(ISBLANK($L8))</formula>
    </cfRule>
  </conditionalFormatting>
  <conditionalFormatting sqref="BC8">
    <cfRule type="expression" dxfId="1" priority="1" stopIfTrue="1">
      <formula>NOT(ISBLANK($O8))</formula>
    </cfRule>
    <cfRule type="expression" dxfId="0" priority="2" stopIfTrue="1">
      <formula>NOT(ISBLANK($L8))</formula>
    </cfRule>
  </conditionalFormatting>
  <dataValidations count="6">
    <dataValidation type="custom" allowBlank="1" showInputMessage="1" showErrorMessage="1" errorTitle="エラー" error="文字数オーバー" sqref="B104:B109 B112:B155 B157:B225 B227:B256 B3:B99">
      <formula1>LENB(B3)  &lt;= 24</formula1>
    </dataValidation>
    <dataValidation allowBlank="1" showInputMessage="1" showErrorMessage="1" errorTitle="エラー" error="文字数オーバー" sqref="B226 B100:B103 B110:B111"/>
    <dataValidation type="custom" allowBlank="1" showInputMessage="1" showErrorMessage="1" sqref="F168 D3:E256">
      <formula1>LENB(D3)  &lt;= 30</formula1>
    </dataValidation>
    <dataValidation type="list" allowBlank="1" showInputMessage="1" showErrorMessage="1" sqref="AH3:AH256 AK3:AK256 J3:J256 AB3:AB256 AN3:AN256 BC3:BC256 AZ3:AZ256 AW3:AW256 AT3:AT256 AQ3:AQ256 AE3:AE256">
      <formula1>"レ"</formula1>
    </dataValidation>
    <dataValidation type="list" showInputMessage="1" showErrorMessage="1" sqref="O3:O256">
      <formula1>"レ"</formula1>
    </dataValidation>
    <dataValidation type="list" allowBlank="1" showInputMessage="1" showErrorMessage="1" sqref="G3:G256">
      <formula1>"連番, ID, コード(固定),コード(可変), 区分, 文字列, 数値, フラグ, 日付, 日時"</formula1>
    </dataValidation>
  </dataValidations>
  <pageMargins left="0.39370078740157483" right="0.39370078740157483" top="0.59055118110236227" bottom="0.59055118110236227" header="0.51181102362204722" footer="0.51181102362204722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M79"/>
  <sheetViews>
    <sheetView tabSelected="1" workbookViewId="0">
      <selection activeCell="M30" sqref="M30"/>
    </sheetView>
  </sheetViews>
  <sheetFormatPr defaultRowHeight="12"/>
  <cols>
    <col min="1" max="1" width="4.625" style="1" customWidth="1"/>
    <col min="2" max="2" width="17" style="1" customWidth="1"/>
    <col min="3" max="4" width="7.625" style="1" customWidth="1"/>
    <col min="5" max="5" width="8.625" style="1" customWidth="1"/>
    <col min="6" max="6" width="5.625" style="1" customWidth="1"/>
    <col min="7" max="7" width="8.125" style="1" customWidth="1"/>
    <col min="8" max="9" width="7.625" style="1" customWidth="1"/>
    <col min="10" max="10" width="15.625" style="1" customWidth="1"/>
    <col min="11" max="11" width="9" style="1"/>
    <col min="12" max="12" width="9.25" style="1" bestFit="1" customWidth="1"/>
    <col min="13" max="13" width="13.625" style="1" customWidth="1"/>
    <col min="14" max="16384" width="9" style="1"/>
  </cols>
  <sheetData>
    <row r="2" spans="1:13">
      <c r="B2" s="15" t="s">
        <v>573</v>
      </c>
      <c r="C2" s="3" t="s">
        <v>568</v>
      </c>
    </row>
    <row r="3" spans="1:13">
      <c r="B3" s="15" t="s">
        <v>39</v>
      </c>
      <c r="C3" s="16" t="s">
        <v>561</v>
      </c>
      <c r="D3" s="21"/>
      <c r="E3" s="17"/>
      <c r="F3" s="19"/>
      <c r="G3" s="19"/>
      <c r="H3" s="19"/>
      <c r="I3" s="19"/>
    </row>
    <row r="4" spans="1:13">
      <c r="B4" s="15" t="s">
        <v>572</v>
      </c>
      <c r="C4" s="16" t="s">
        <v>566</v>
      </c>
      <c r="D4" s="21"/>
      <c r="E4" s="17"/>
      <c r="F4" s="19"/>
      <c r="G4" s="19"/>
      <c r="H4" s="19"/>
      <c r="I4" s="19"/>
    </row>
    <row r="5" spans="1:13">
      <c r="B5" s="31" t="s">
        <v>565</v>
      </c>
      <c r="C5" s="16" t="s">
        <v>567</v>
      </c>
      <c r="D5" s="21"/>
      <c r="E5" s="17"/>
      <c r="F5" s="19"/>
      <c r="G5" s="19"/>
      <c r="H5" s="19"/>
      <c r="I5" s="19"/>
    </row>
    <row r="6" spans="1:13">
      <c r="B6" s="31" t="s">
        <v>37</v>
      </c>
      <c r="C6" s="20" t="s">
        <v>630</v>
      </c>
      <c r="D6" s="18"/>
      <c r="E6" s="19"/>
      <c r="F6" s="19"/>
      <c r="G6" s="19"/>
      <c r="H6" s="19"/>
      <c r="I6" s="19"/>
    </row>
    <row r="7" spans="1:13">
      <c r="B7" s="15" t="s">
        <v>38</v>
      </c>
      <c r="C7" s="16" t="s">
        <v>631</v>
      </c>
      <c r="D7" s="18"/>
      <c r="E7" s="19"/>
      <c r="F7" s="19"/>
      <c r="G7" s="19"/>
      <c r="H7" s="19"/>
      <c r="K7" s="1" t="s">
        <v>43</v>
      </c>
      <c r="M7" s="1" t="s">
        <v>43</v>
      </c>
    </row>
    <row r="8" spans="1:13">
      <c r="K8" s="1" t="s">
        <v>44</v>
      </c>
      <c r="M8" s="1" t="s">
        <v>44</v>
      </c>
    </row>
    <row r="9" spans="1:13" ht="24.75" thickBot="1">
      <c r="A9" s="23" t="s">
        <v>2</v>
      </c>
      <c r="B9" s="24" t="s">
        <v>1</v>
      </c>
      <c r="C9" s="25" t="s">
        <v>41</v>
      </c>
      <c r="D9" s="26" t="s">
        <v>40</v>
      </c>
      <c r="E9" s="26" t="s">
        <v>569</v>
      </c>
      <c r="F9" s="26" t="s">
        <v>570</v>
      </c>
      <c r="G9" s="26" t="s">
        <v>571</v>
      </c>
      <c r="H9" s="26" t="s">
        <v>616</v>
      </c>
      <c r="I9" s="26" t="s">
        <v>617</v>
      </c>
      <c r="J9" s="27" t="s">
        <v>36</v>
      </c>
      <c r="K9" s="27" t="s">
        <v>34</v>
      </c>
      <c r="L9" s="30" t="s">
        <v>35</v>
      </c>
      <c r="M9" s="27" t="s">
        <v>42</v>
      </c>
    </row>
    <row r="10" spans="1:13" ht="12.75" thickTop="1">
      <c r="A10" s="28">
        <v>1</v>
      </c>
      <c r="B10" s="29" t="str">
        <f>IF(ISBLANK(A10), "", VLOOKUP(A10,項目定義!A$3:B$65741,2,FALSE))</f>
        <v>オンラインバッチ実行状況管理</v>
      </c>
      <c r="C10" s="8" t="s">
        <v>77</v>
      </c>
      <c r="D10" s="7"/>
      <c r="E10" s="7"/>
      <c r="F10" s="7"/>
      <c r="G10" s="7"/>
      <c r="H10" s="7"/>
      <c r="I10" s="8"/>
      <c r="J10" s="9"/>
      <c r="K10" s="22"/>
      <c r="L10" s="22"/>
      <c r="M10" s="22"/>
    </row>
    <row r="11" spans="1:13">
      <c r="A11" s="28">
        <f t="shared" ref="A11:A19" si="0">A10+1</f>
        <v>2</v>
      </c>
      <c r="B11" s="29" t="str">
        <f>IF(ISBLANK(A11), "", VLOOKUP(A11,項目定義!A$3:B$65741,2,FALSE))</f>
        <v>模試結果</v>
      </c>
      <c r="C11" s="8" t="s">
        <v>77</v>
      </c>
      <c r="D11" s="7"/>
      <c r="E11" s="7"/>
      <c r="F11" s="7"/>
      <c r="G11" s="3"/>
      <c r="H11" s="7"/>
      <c r="I11" s="2"/>
      <c r="J11" s="9"/>
      <c r="K11" s="8"/>
      <c r="L11" s="22"/>
      <c r="M11" s="22"/>
    </row>
    <row r="12" spans="1:13">
      <c r="A12" s="28">
        <f t="shared" si="0"/>
        <v>3</v>
      </c>
      <c r="B12" s="29" t="str">
        <f>IF(ISBLANK(A12), "", VLOOKUP(A12,項目定義!A$3:B$65741,2,FALSE))</f>
        <v>模試結果偏差値</v>
      </c>
      <c r="C12" s="8" t="s">
        <v>77</v>
      </c>
      <c r="D12" s="7"/>
      <c r="E12" s="7"/>
      <c r="F12" s="7"/>
      <c r="G12" s="3"/>
      <c r="H12" s="7"/>
      <c r="I12" s="2"/>
      <c r="J12" s="9"/>
      <c r="K12" s="8"/>
      <c r="L12" s="22">
        <v>10000</v>
      </c>
      <c r="M12" s="22"/>
    </row>
    <row r="13" spans="1:13">
      <c r="A13" s="28">
        <f t="shared" si="0"/>
        <v>4</v>
      </c>
      <c r="B13" s="29" t="str">
        <f>IF(ISBLANK(A13), "", VLOOKUP(A13,項目定義!A$3:B$65741,2,FALSE))</f>
        <v>模試成績</v>
      </c>
      <c r="C13" s="8" t="s">
        <v>77</v>
      </c>
      <c r="D13" s="7"/>
      <c r="E13" s="7"/>
      <c r="F13" s="7"/>
      <c r="G13" s="3"/>
      <c r="H13" s="7"/>
      <c r="I13" s="2"/>
      <c r="J13" s="9"/>
      <c r="K13" s="8"/>
      <c r="L13" s="22">
        <v>10000</v>
      </c>
      <c r="M13" s="22"/>
    </row>
    <row r="14" spans="1:13">
      <c r="A14" s="28">
        <f t="shared" si="0"/>
        <v>5</v>
      </c>
      <c r="B14" s="29" t="str">
        <f>IF(ISBLANK(A14), "", VLOOKUP(A14,項目定義!A$3:B$65741,2,FALSE))</f>
        <v>模試科目成績</v>
      </c>
      <c r="C14" s="8" t="s">
        <v>77</v>
      </c>
      <c r="D14" s="7"/>
      <c r="E14" s="7"/>
      <c r="F14" s="7"/>
      <c r="G14" s="3"/>
      <c r="H14" s="7"/>
      <c r="I14" s="2"/>
      <c r="J14" s="9"/>
      <c r="K14" s="8"/>
      <c r="L14" s="22"/>
      <c r="M14" s="22"/>
    </row>
    <row r="15" spans="1:13">
      <c r="A15" s="28">
        <f t="shared" si="0"/>
        <v>6</v>
      </c>
      <c r="B15" s="29" t="str">
        <f>IF(ISBLANK(A15), "", VLOOKUP(A15,項目定義!A$3:B$65741,2,FALSE))</f>
        <v>模試設問結果</v>
      </c>
      <c r="C15" s="8" t="s">
        <v>77</v>
      </c>
      <c r="D15" s="7"/>
      <c r="E15" s="7"/>
      <c r="F15" s="7"/>
      <c r="G15" s="3"/>
      <c r="H15" s="7"/>
      <c r="I15" s="2"/>
      <c r="J15" s="9"/>
      <c r="K15" s="8"/>
      <c r="L15" s="22"/>
      <c r="M15" s="22"/>
    </row>
    <row r="16" spans="1:13">
      <c r="A16" s="28">
        <f t="shared" si="0"/>
        <v>7</v>
      </c>
      <c r="B16" s="29" t="str">
        <f>IF(ISBLANK(A16), "", VLOOKUP(A16,項目定義!A$3:B$65741,2,FALSE))</f>
        <v>模試設問成績</v>
      </c>
      <c r="C16" s="8" t="s">
        <v>77</v>
      </c>
      <c r="D16" s="7"/>
      <c r="E16" s="7"/>
      <c r="F16" s="7"/>
      <c r="G16" s="3"/>
      <c r="H16" s="7"/>
      <c r="I16" s="2"/>
      <c r="J16" s="9"/>
      <c r="K16" s="8"/>
      <c r="L16" s="22"/>
      <c r="M16" s="22"/>
    </row>
    <row r="17" spans="1:13">
      <c r="A17" s="28">
        <f t="shared" si="0"/>
        <v>8</v>
      </c>
      <c r="B17" s="29" t="str">
        <f>IF(ISBLANK(A17), "", VLOOKUP(A17,項目定義!A$3:B$65741,2,FALSE))</f>
        <v>模試能力別結果</v>
      </c>
      <c r="C17" s="8" t="s">
        <v>77</v>
      </c>
      <c r="D17" s="7"/>
      <c r="E17" s="7"/>
      <c r="F17" s="7"/>
      <c r="G17" s="3"/>
      <c r="H17" s="7"/>
      <c r="I17" s="2"/>
      <c r="J17" s="9"/>
      <c r="K17" s="8"/>
      <c r="L17" s="22"/>
      <c r="M17" s="22"/>
    </row>
    <row r="18" spans="1:13">
      <c r="A18" s="28">
        <f t="shared" si="0"/>
        <v>9</v>
      </c>
      <c r="B18" s="29" t="str">
        <f>IF(ISBLANK(A18), "", VLOOKUP(A18,項目定義!A$3:B$65741,2,FALSE))</f>
        <v>模試能力別成績</v>
      </c>
      <c r="C18" s="8" t="s">
        <v>77</v>
      </c>
      <c r="D18" s="7"/>
      <c r="E18" s="7"/>
      <c r="F18" s="7"/>
      <c r="G18" s="3"/>
      <c r="H18" s="7"/>
      <c r="I18" s="2"/>
      <c r="J18" s="9"/>
      <c r="K18" s="8"/>
      <c r="L18" s="22"/>
      <c r="M18" s="22"/>
    </row>
    <row r="19" spans="1:13">
      <c r="A19" s="28">
        <f t="shared" si="0"/>
        <v>10</v>
      </c>
      <c r="B19" s="29" t="str">
        <f>IF(ISBLANK(A19), "", VLOOKUP(A19,項目定義!A$3:B$65741,2,FALSE))</f>
        <v>模試志望校結果</v>
      </c>
      <c r="C19" s="8" t="s">
        <v>77</v>
      </c>
      <c r="D19" s="7"/>
      <c r="E19" s="7"/>
      <c r="F19" s="7"/>
      <c r="G19" s="3"/>
      <c r="H19" s="7"/>
      <c r="I19" s="2"/>
      <c r="J19" s="9"/>
      <c r="K19" s="8"/>
      <c r="L19" s="22"/>
      <c r="M19" s="22"/>
    </row>
    <row r="20" spans="1:13">
      <c r="A20" s="28">
        <v>11</v>
      </c>
      <c r="B20" s="29" t="str">
        <f>IF(ISBLANK(A20), "", VLOOKUP(A20,項目定義!A$3:B$65741,2,FALSE))</f>
        <v>模試志望校別成績</v>
      </c>
      <c r="C20" s="8" t="s">
        <v>77</v>
      </c>
      <c r="D20" s="7"/>
      <c r="E20" s="7"/>
      <c r="F20" s="7"/>
      <c r="G20" s="3"/>
      <c r="H20" s="7"/>
      <c r="I20" s="2"/>
      <c r="J20" s="9"/>
      <c r="K20" s="8"/>
      <c r="L20" s="22"/>
      <c r="M20" s="22"/>
    </row>
    <row r="21" spans="1:13">
      <c r="A21" s="28">
        <v>12</v>
      </c>
      <c r="B21" s="29" t="str">
        <f>IF(ISBLANK(A21), "", VLOOKUP(A21,項目定義!A$3:B$65741,2,FALSE))</f>
        <v>模試志望校判定成績</v>
      </c>
      <c r="C21" s="8" t="s">
        <v>77</v>
      </c>
      <c r="D21" s="7"/>
      <c r="E21" s="7"/>
      <c r="F21" s="7"/>
      <c r="G21" s="3"/>
      <c r="H21" s="7"/>
      <c r="I21" s="2"/>
      <c r="J21" s="9"/>
      <c r="K21" s="8"/>
      <c r="L21" s="22"/>
      <c r="M21" s="22"/>
    </row>
    <row r="22" spans="1:13">
      <c r="A22" s="28">
        <v>13</v>
      </c>
      <c r="B22" s="29" t="str">
        <f>IF(ISBLANK(A22), "", VLOOKUP(A22,項目定義!A$3:B$65741,2,FALSE))</f>
        <v>模試志望校判定点数</v>
      </c>
      <c r="C22" s="8" t="s">
        <v>77</v>
      </c>
      <c r="D22" s="7"/>
      <c r="E22" s="7"/>
      <c r="F22" s="7"/>
      <c r="G22" s="3"/>
      <c r="H22" s="7"/>
      <c r="I22" s="2"/>
      <c r="J22" s="9"/>
      <c r="K22" s="8"/>
      <c r="L22" s="22"/>
      <c r="M22" s="22"/>
    </row>
    <row r="23" spans="1:13">
      <c r="A23" s="28">
        <v>14</v>
      </c>
      <c r="B23" s="29" t="str">
        <f>IF(ISBLANK(A23), "", VLOOKUP(A23,項目定義!A$3:B$65741,2,FALSE))</f>
        <v>学校</v>
      </c>
      <c r="C23" s="8" t="s">
        <v>171</v>
      </c>
      <c r="D23" s="7"/>
      <c r="E23" s="7"/>
      <c r="F23" s="7"/>
      <c r="G23" s="3"/>
      <c r="H23" s="7"/>
      <c r="I23" s="2"/>
      <c r="J23" s="9"/>
      <c r="K23" s="8"/>
      <c r="L23" s="22"/>
      <c r="M23" s="22"/>
    </row>
    <row r="24" spans="1:13">
      <c r="A24" s="28">
        <v>15</v>
      </c>
      <c r="B24" s="29" t="str">
        <f>IF(ISBLANK(A24), "", VLOOKUP(A24,項目定義!A$3:B$65741,2,FALSE))</f>
        <v>学校年度</v>
      </c>
      <c r="C24" s="8" t="s">
        <v>171</v>
      </c>
      <c r="D24" s="7"/>
      <c r="E24" s="7"/>
      <c r="F24" s="7"/>
      <c r="G24" s="3"/>
      <c r="H24" s="7"/>
      <c r="I24" s="2"/>
      <c r="J24" s="9"/>
      <c r="K24" s="8"/>
      <c r="L24" s="22"/>
      <c r="M24" s="22"/>
    </row>
    <row r="25" spans="1:13">
      <c r="A25" s="28">
        <v>16</v>
      </c>
      <c r="B25" s="29" t="str">
        <f>IF(ISBLANK(A25), "", VLOOKUP(A25,項目定義!A$3:B$65741,2,FALSE))</f>
        <v>校舎</v>
      </c>
      <c r="C25" s="8" t="s">
        <v>171</v>
      </c>
      <c r="D25" s="7"/>
      <c r="E25" s="7"/>
      <c r="F25" s="7"/>
      <c r="G25" s="3"/>
      <c r="H25" s="7"/>
      <c r="I25" s="2"/>
      <c r="J25" s="9"/>
      <c r="K25" s="8"/>
      <c r="L25" s="22"/>
      <c r="M25" s="22"/>
    </row>
    <row r="26" spans="1:13">
      <c r="A26" s="28">
        <v>17</v>
      </c>
      <c r="B26" s="29" t="str">
        <f>IF(ISBLANK(A26), "", VLOOKUP(A26,項目定義!A$3:B$65741,2,FALSE))</f>
        <v>模試科目</v>
      </c>
      <c r="C26" s="8" t="s">
        <v>171</v>
      </c>
      <c r="D26" s="7"/>
      <c r="E26" s="7"/>
      <c r="F26" s="7"/>
      <c r="G26" s="3"/>
      <c r="H26" s="7"/>
      <c r="I26" s="2"/>
      <c r="J26" s="9"/>
      <c r="K26" s="8"/>
      <c r="L26" s="22"/>
      <c r="M26" s="22"/>
    </row>
    <row r="27" spans="1:13">
      <c r="A27" s="28">
        <v>18</v>
      </c>
      <c r="B27" s="29" t="str">
        <f>IF(ISBLANK(A27), "", VLOOKUP(A27,項目定義!A$3:B$65741,2,FALSE))</f>
        <v>模試区分</v>
      </c>
      <c r="C27" s="8" t="s">
        <v>171</v>
      </c>
      <c r="D27" s="7"/>
      <c r="E27" s="7"/>
      <c r="F27" s="7"/>
      <c r="G27" s="3"/>
      <c r="H27" s="7"/>
      <c r="I27" s="2"/>
      <c r="J27" s="9"/>
      <c r="K27" s="8"/>
      <c r="L27" s="22"/>
      <c r="M27" s="22"/>
    </row>
    <row r="28" spans="1:13">
      <c r="A28" s="28">
        <v>19</v>
      </c>
      <c r="B28" s="29" t="str">
        <f>IF(ISBLANK(A28), "", VLOOKUP(A28,項目定義!A$3:B$65741,2,FALSE))</f>
        <v>模試</v>
      </c>
      <c r="C28" s="8" t="s">
        <v>171</v>
      </c>
      <c r="D28" s="7"/>
      <c r="E28" s="7"/>
      <c r="F28" s="7"/>
      <c r="G28" s="3"/>
      <c r="H28" s="7"/>
      <c r="I28" s="2"/>
      <c r="J28" s="9"/>
      <c r="K28" s="8"/>
      <c r="L28" s="22"/>
      <c r="M28" s="22"/>
    </row>
    <row r="29" spans="1:13">
      <c r="A29" s="28">
        <v>20</v>
      </c>
      <c r="B29" s="29" t="str">
        <f>IF(ISBLANK(A29), "", VLOOKUP(A29,項目定義!A$3:B$65741,2,FALSE))</f>
        <v>模試区分科目構成</v>
      </c>
      <c r="C29" s="8" t="s">
        <v>171</v>
      </c>
      <c r="D29" s="7"/>
      <c r="E29" s="7"/>
      <c r="F29" s="7"/>
      <c r="G29" s="3"/>
      <c r="H29" s="7"/>
      <c r="I29" s="2"/>
      <c r="J29" s="9"/>
      <c r="K29" s="8"/>
      <c r="L29" s="22"/>
      <c r="M29" s="22"/>
    </row>
    <row r="30" spans="1:13">
      <c r="A30" s="28">
        <v>21</v>
      </c>
      <c r="B30" s="29" t="str">
        <f>IF(ISBLANK(A30), "", VLOOKUP(A30,項目定義!A$3:B$65741,2,FALSE))</f>
        <v>模試区分設問構成</v>
      </c>
      <c r="C30" s="8" t="s">
        <v>171</v>
      </c>
      <c r="D30" s="7"/>
      <c r="E30" s="7"/>
      <c r="F30" s="7"/>
      <c r="G30" s="3"/>
      <c r="H30" s="7"/>
      <c r="I30" s="2"/>
      <c r="J30" s="9"/>
      <c r="K30" s="8"/>
      <c r="L30" s="22"/>
      <c r="M30" s="22"/>
    </row>
    <row r="31" spans="1:13">
      <c r="A31" s="28">
        <v>22</v>
      </c>
      <c r="B31" s="29" t="str">
        <f>IF(ISBLANK(A31), "", VLOOKUP(A31,項目定義!A$3:B$65741,2,FALSE))</f>
        <v>模試設問分野</v>
      </c>
      <c r="C31" s="8" t="s">
        <v>171</v>
      </c>
      <c r="D31" s="7"/>
      <c r="E31" s="7"/>
      <c r="F31" s="7"/>
      <c r="G31" s="3"/>
      <c r="H31" s="7"/>
      <c r="I31" s="2"/>
      <c r="J31" s="9"/>
      <c r="K31" s="8"/>
      <c r="L31" s="22"/>
      <c r="M31" s="22"/>
    </row>
    <row r="32" spans="1:13">
      <c r="A32" s="28">
        <v>23</v>
      </c>
      <c r="B32" s="29" t="str">
        <f>IF(ISBLANK(A32), "", VLOOKUP(A32,項目定義!A$3:B$65741,2,FALSE))</f>
        <v>模試メッセージ</v>
      </c>
      <c r="C32" s="8" t="s">
        <v>171</v>
      </c>
      <c r="D32" s="7"/>
      <c r="E32" s="7"/>
      <c r="F32" s="7"/>
      <c r="G32" s="3"/>
      <c r="H32" s="7"/>
      <c r="I32" s="2"/>
      <c r="J32" s="9"/>
      <c r="K32" s="8"/>
      <c r="L32" s="22"/>
      <c r="M32" s="22"/>
    </row>
    <row r="33" spans="1:13">
      <c r="A33" s="28">
        <v>24</v>
      </c>
      <c r="B33" s="29" t="str">
        <f>IF(ISBLANK(A33), "", VLOOKUP(A33,項目定義!A$3:B$65741,2,FALSE))</f>
        <v>プレ模試判定基準</v>
      </c>
      <c r="C33" s="8" t="s">
        <v>171</v>
      </c>
      <c r="D33" s="7"/>
      <c r="E33" s="7"/>
      <c r="F33" s="7"/>
      <c r="G33" s="3"/>
      <c r="H33" s="7"/>
      <c r="I33" s="2"/>
      <c r="J33" s="9"/>
      <c r="K33" s="8"/>
      <c r="L33" s="22"/>
      <c r="M33" s="22"/>
    </row>
    <row r="34" spans="1:13">
      <c r="A34" s="28">
        <v>25</v>
      </c>
      <c r="B34" s="29" t="str">
        <f>IF(ISBLANK(A34), "", VLOOKUP(A34,項目定義!A$3:B$65741,2,FALSE))</f>
        <v>模試合格判定種別</v>
      </c>
      <c r="C34" s="8" t="s">
        <v>171</v>
      </c>
      <c r="D34" s="7"/>
      <c r="E34" s="7"/>
      <c r="F34" s="7"/>
      <c r="G34" s="3"/>
      <c r="H34" s="7"/>
      <c r="I34" s="2"/>
      <c r="J34" s="9"/>
      <c r="K34" s="8"/>
      <c r="L34" s="22"/>
      <c r="M34" s="22"/>
    </row>
    <row r="35" spans="1:13">
      <c r="A35" s="28">
        <v>26</v>
      </c>
      <c r="B35" s="29" t="str">
        <f>IF(ISBLANK(A35), "", VLOOKUP(A35,項目定義!A$3:B$65741,2,FALSE))</f>
        <v>模試合格判定基準</v>
      </c>
      <c r="C35" s="8" t="s">
        <v>171</v>
      </c>
      <c r="D35" s="7"/>
      <c r="E35" s="7"/>
      <c r="F35" s="7"/>
      <c r="G35" s="3"/>
      <c r="H35" s="7"/>
      <c r="I35" s="2"/>
      <c r="J35" s="9"/>
      <c r="K35" s="8"/>
      <c r="L35" s="22"/>
      <c r="M35" s="22"/>
    </row>
    <row r="36" spans="1:13">
      <c r="A36" s="28"/>
      <c r="B36" s="29" t="str">
        <f>IF(ISBLANK(A36), "", VLOOKUP(A36,項目定義!A$3:B$65741,2,FALSE))</f>
        <v/>
      </c>
      <c r="C36" s="8"/>
      <c r="D36" s="7"/>
      <c r="E36" s="7"/>
      <c r="F36" s="7"/>
      <c r="G36" s="3"/>
      <c r="H36" s="7"/>
      <c r="I36" s="2"/>
      <c r="J36" s="9"/>
      <c r="K36" s="8"/>
      <c r="L36" s="22"/>
      <c r="M36" s="22"/>
    </row>
    <row r="37" spans="1:13">
      <c r="A37" s="28"/>
      <c r="B37" s="29" t="str">
        <f>IF(ISBLANK(A37), "", VLOOKUP(A37,項目定義!A$3:B$65741,2,FALSE))</f>
        <v/>
      </c>
      <c r="C37" s="8"/>
      <c r="D37" s="7"/>
      <c r="E37" s="7"/>
      <c r="F37" s="7"/>
      <c r="G37" s="3"/>
      <c r="H37" s="7"/>
      <c r="I37" s="2"/>
      <c r="J37" s="9"/>
      <c r="K37" s="8"/>
      <c r="L37" s="22"/>
      <c r="M37" s="22"/>
    </row>
    <row r="38" spans="1:13">
      <c r="A38" s="28"/>
      <c r="B38" s="29" t="str">
        <f>IF(ISBLANK(A38), "", VLOOKUP(A38,項目定義!A$3:B$65741,2,FALSE))</f>
        <v/>
      </c>
      <c r="C38" s="8"/>
      <c r="D38" s="7"/>
      <c r="E38" s="7"/>
      <c r="F38" s="7"/>
      <c r="G38" s="3"/>
      <c r="H38" s="7"/>
      <c r="I38" s="2"/>
      <c r="J38" s="9"/>
      <c r="K38" s="8"/>
      <c r="L38" s="22"/>
      <c r="M38" s="22"/>
    </row>
    <row r="39" spans="1:13">
      <c r="A39" s="28"/>
      <c r="B39" s="29" t="str">
        <f>IF(ISBLANK(A39), "", VLOOKUP(A39,項目定義!A$3:B$65741,2,FALSE))</f>
        <v/>
      </c>
      <c r="C39" s="8"/>
      <c r="D39" s="7"/>
      <c r="E39" s="7"/>
      <c r="F39" s="7"/>
      <c r="G39" s="3"/>
      <c r="H39" s="7"/>
      <c r="I39" s="2"/>
      <c r="J39" s="9"/>
      <c r="K39" s="8"/>
      <c r="L39" s="22"/>
      <c r="M39" s="22"/>
    </row>
    <row r="40" spans="1:13">
      <c r="A40" s="28"/>
      <c r="B40" s="29" t="str">
        <f>IF(ISBLANK(A40), "", VLOOKUP(A40,項目定義!A$3:B$65741,2,FALSE))</f>
        <v/>
      </c>
      <c r="C40" s="8"/>
      <c r="D40" s="7"/>
      <c r="E40" s="7"/>
      <c r="F40" s="7"/>
      <c r="G40" s="3"/>
      <c r="H40" s="7"/>
      <c r="I40" s="2"/>
      <c r="J40" s="9"/>
      <c r="K40" s="8"/>
      <c r="L40" s="22"/>
      <c r="M40" s="22"/>
    </row>
    <row r="41" spans="1:13">
      <c r="A41" s="28"/>
      <c r="B41" s="29" t="str">
        <f>IF(ISBLANK(A41), "", VLOOKUP(A41,項目定義!A$3:B$65741,2,FALSE))</f>
        <v/>
      </c>
      <c r="C41" s="8"/>
      <c r="D41" s="7"/>
      <c r="E41" s="7"/>
      <c r="F41" s="7"/>
      <c r="G41" s="3"/>
      <c r="H41" s="7"/>
      <c r="I41" s="2"/>
      <c r="J41" s="9"/>
      <c r="K41" s="8"/>
      <c r="L41" s="22"/>
      <c r="M41" s="22"/>
    </row>
    <row r="43" spans="1:13">
      <c r="B43" s="1" t="s">
        <v>53</v>
      </c>
    </row>
    <row r="44" spans="1:13">
      <c r="B44" s="1" t="s">
        <v>58</v>
      </c>
      <c r="C44" s="1" t="s">
        <v>562</v>
      </c>
    </row>
    <row r="45" spans="1:13">
      <c r="B45" s="1" t="s">
        <v>632</v>
      </c>
      <c r="C45" s="1" t="s">
        <v>614</v>
      </c>
    </row>
    <row r="46" spans="1:13">
      <c r="B46" s="1" t="s">
        <v>613</v>
      </c>
      <c r="C46" s="1" t="s">
        <v>563</v>
      </c>
    </row>
    <row r="47" spans="1:13">
      <c r="B47" s="1" t="s">
        <v>49</v>
      </c>
      <c r="C47" s="1" t="s">
        <v>614</v>
      </c>
    </row>
    <row r="48" spans="1:13">
      <c r="B48" s="1" t="s">
        <v>48</v>
      </c>
      <c r="C48" s="1" t="s">
        <v>564</v>
      </c>
    </row>
    <row r="49" spans="2:7">
      <c r="B49" s="1" t="s">
        <v>615</v>
      </c>
      <c r="C49" s="1" t="s">
        <v>562</v>
      </c>
    </row>
    <row r="50" spans="2:7">
      <c r="B50" s="1" t="s">
        <v>57</v>
      </c>
      <c r="C50" s="1" t="s">
        <v>562</v>
      </c>
    </row>
    <row r="51" spans="2:7">
      <c r="B51" s="1" t="s">
        <v>50</v>
      </c>
      <c r="C51" s="1" t="s">
        <v>562</v>
      </c>
    </row>
    <row r="52" spans="2:7">
      <c r="B52" s="1" t="s">
        <v>52</v>
      </c>
      <c r="C52" s="1" t="s">
        <v>54</v>
      </c>
    </row>
    <row r="53" spans="2:7">
      <c r="B53" s="1" t="s">
        <v>51</v>
      </c>
      <c r="C53" s="1" t="s">
        <v>54</v>
      </c>
    </row>
    <row r="55" spans="2:7">
      <c r="B55" s="1" t="s">
        <v>574</v>
      </c>
      <c r="G55" s="1" t="s">
        <v>587</v>
      </c>
    </row>
    <row r="56" spans="2:7">
      <c r="B56" s="46" t="s">
        <v>576</v>
      </c>
      <c r="G56" s="1" t="s">
        <v>578</v>
      </c>
    </row>
    <row r="57" spans="2:7">
      <c r="B57" s="46" t="s">
        <v>611</v>
      </c>
      <c r="G57" s="1" t="s">
        <v>579</v>
      </c>
    </row>
    <row r="58" spans="2:7">
      <c r="B58" s="1" t="s">
        <v>577</v>
      </c>
      <c r="G58" s="1" t="s">
        <v>612</v>
      </c>
    </row>
    <row r="59" spans="2:7">
      <c r="G59" s="1" t="s">
        <v>580</v>
      </c>
    </row>
    <row r="60" spans="2:7">
      <c r="B60" s="1" t="s">
        <v>575</v>
      </c>
      <c r="G60" s="1" t="s">
        <v>581</v>
      </c>
    </row>
    <row r="61" spans="2:7">
      <c r="B61" s="46" t="s">
        <v>588</v>
      </c>
      <c r="G61" s="1" t="s">
        <v>586</v>
      </c>
    </row>
    <row r="62" spans="2:7">
      <c r="B62" s="1" t="s">
        <v>590</v>
      </c>
      <c r="G62" s="1" t="s">
        <v>582</v>
      </c>
    </row>
    <row r="63" spans="2:7">
      <c r="B63" s="46"/>
      <c r="G63" s="1" t="s">
        <v>583</v>
      </c>
    </row>
    <row r="64" spans="2:7">
      <c r="B64" s="1" t="s">
        <v>589</v>
      </c>
      <c r="G64" s="1" t="s">
        <v>584</v>
      </c>
    </row>
    <row r="65" spans="2:7">
      <c r="B65" s="1" t="s">
        <v>591</v>
      </c>
      <c r="G65" s="1" t="s">
        <v>585</v>
      </c>
    </row>
    <row r="66" spans="2:7">
      <c r="B66" s="1" t="s">
        <v>593</v>
      </c>
      <c r="C66" s="1" t="s">
        <v>596</v>
      </c>
      <c r="G66" s="1" t="s">
        <v>581</v>
      </c>
    </row>
    <row r="68" spans="2:7">
      <c r="B68" s="1" t="s">
        <v>592</v>
      </c>
    </row>
    <row r="69" spans="2:7">
      <c r="B69" s="1" t="s">
        <v>594</v>
      </c>
      <c r="C69" s="1" t="s">
        <v>596</v>
      </c>
    </row>
    <row r="70" spans="2:7">
      <c r="B70" s="1" t="s">
        <v>595</v>
      </c>
    </row>
    <row r="73" spans="2:7">
      <c r="B73" s="1" t="s">
        <v>597</v>
      </c>
      <c r="C73" s="1" t="s">
        <v>598</v>
      </c>
    </row>
    <row r="74" spans="2:7">
      <c r="B74" s="1" t="s">
        <v>599</v>
      </c>
      <c r="C74" s="1" t="s">
        <v>600</v>
      </c>
    </row>
    <row r="75" spans="2:7">
      <c r="B75" s="1" t="s">
        <v>601</v>
      </c>
      <c r="C75" s="1" t="s">
        <v>602</v>
      </c>
    </row>
    <row r="76" spans="2:7">
      <c r="B76" s="1" t="s">
        <v>603</v>
      </c>
      <c r="C76" s="1" t="s">
        <v>604</v>
      </c>
    </row>
    <row r="77" spans="2:7">
      <c r="B77" s="1" t="s">
        <v>605</v>
      </c>
      <c r="C77" s="1" t="s">
        <v>606</v>
      </c>
    </row>
    <row r="78" spans="2:7">
      <c r="B78" s="1" t="s">
        <v>607</v>
      </c>
      <c r="C78" s="1" t="s">
        <v>608</v>
      </c>
    </row>
    <row r="79" spans="2:7">
      <c r="B79" s="1" t="s">
        <v>609</v>
      </c>
      <c r="C79" s="1" t="s">
        <v>610</v>
      </c>
    </row>
  </sheetData>
  <phoneticPr fontId="4"/>
  <dataValidations count="4">
    <dataValidation type="list" allowBlank="1" showInputMessage="1" showErrorMessage="1" sqref="C10:C41">
      <formula1>"T, W, M"</formula1>
    </dataValidation>
    <dataValidation type="list" allowBlank="1" showInputMessage="1" showErrorMessage="1" sqref="G10 H10:H41 D10:F41">
      <formula1>"レ"</formula1>
    </dataValidation>
    <dataValidation type="list" allowBlank="1" showInputMessage="1" showErrorMessage="1" sqref="C6">
      <formula1>"あり, なし"</formula1>
    </dataValidation>
    <dataValidation type="list" allowBlank="1" showInputMessage="1" showErrorMessage="1" sqref="C7">
      <formula1>"TNO指定, 全て"</formula1>
    </dataValidation>
  </dataValidations>
  <pageMargins left="0.75" right="0.75" top="1" bottom="1" header="0.51200000000000001" footer="0.51200000000000001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9" r:id="rId4" name="Button 7">
              <controlPr defaultSize="0" print="0" autoFill="0" autoPict="0" macro="[0]!CreateSqlClick">
                <anchor moveWithCells="1" sizeWithCells="1">
                  <from>
                    <xdr:col>5</xdr:col>
                    <xdr:colOff>57150</xdr:colOff>
                    <xdr:row>3</xdr:row>
                    <xdr:rowOff>66675</xdr:rowOff>
                  </from>
                  <to>
                    <xdr:col>7</xdr:col>
                    <xdr:colOff>285750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3" r:id="rId5" name="Button 81">
              <controlPr defaultSize="0" print="0" autoFill="0" autoPict="0" macro="[0]!CreateXmlClick">
                <anchor moveWithCells="1" sizeWithCells="1">
                  <from>
                    <xdr:col>9</xdr:col>
                    <xdr:colOff>704850</xdr:colOff>
                    <xdr:row>3</xdr:row>
                    <xdr:rowOff>66675</xdr:rowOff>
                  </from>
                  <to>
                    <xdr:col>11</xdr:col>
                    <xdr:colOff>104775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1" r:id="rId6" name="Button 89">
              <controlPr defaultSize="0" print="0" autoFill="0" autoPict="0" macro="[0]!CreateModelClick">
                <anchor moveWithCells="1" sizeWithCells="1">
                  <from>
                    <xdr:col>7</xdr:col>
                    <xdr:colOff>457200</xdr:colOff>
                    <xdr:row>3</xdr:row>
                    <xdr:rowOff>76200</xdr:rowOff>
                  </from>
                  <to>
                    <xdr:col>9</xdr:col>
                    <xdr:colOff>571500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項目定義</vt:lpstr>
      <vt:lpstr>テーブル一覧</vt:lpstr>
    </vt:vector>
  </TitlesOfParts>
  <Company>キッセイコムテック株式会社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テーブル項目仕様書</dc:title>
  <dc:creator>jmt</dc:creator>
  <cp:lastModifiedBy>Tanaka Nozomu</cp:lastModifiedBy>
  <cp:lastPrinted>2009-03-09T06:38:43Z</cp:lastPrinted>
  <dcterms:created xsi:type="dcterms:W3CDTF">1997-11-11T10:49:39Z</dcterms:created>
  <dcterms:modified xsi:type="dcterms:W3CDTF">2015-02-11T03:31:04Z</dcterms:modified>
</cp:coreProperties>
</file>